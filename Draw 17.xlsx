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ipa\Boulder Dropbox\Boulder\Accounting &amp; Compliance\1.0 Construction\RI Waxahachie\Draw 17\"/>
    </mc:Choice>
  </mc:AlternateContent>
  <xr:revisionPtr revIDLastSave="0" documentId="13_ncr:1_{A6D69D74-9567-42C3-9D9D-5AF0209EB2E9}" xr6:coauthVersionLast="47" xr6:coauthVersionMax="47" xr10:uidLastSave="{00000000-0000-0000-0000-000000000000}"/>
  <bookViews>
    <workbookView xWindow="19095" yWindow="0" windowWidth="24765" windowHeight="20985" tabRatio="962" xr2:uid="{36CF4A7C-C0C1-4281-8AA2-633946B33EF9}"/>
  </bookViews>
  <sheets>
    <sheet name="G702" sheetId="16" r:id="rId1"/>
    <sheet name="G703" sheetId="15" r:id="rId2"/>
    <sheet name="Boulder Invoice" sheetId="14" r:id="rId3"/>
  </sheets>
  <definedNames>
    <definedName name="GRAND">#REF!</definedName>
    <definedName name="_xlnm.Print_Area" localSheetId="2">'Boulder Invoice'!$D$2:$K$296</definedName>
    <definedName name="_xlnm.Print_Area" localSheetId="0">'G702'!$A$1:$N$56</definedName>
    <definedName name="_xlnm.Print_Area" localSheetId="1">'G703'!$A$1:$J$33</definedName>
    <definedName name="Print_Area_MI">#REF!</definedName>
    <definedName name="Print_Titles_MI">#REF!,#REF!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2" i="14" l="1"/>
  <c r="H292" i="14"/>
  <c r="J274" i="14"/>
  <c r="J275" i="14"/>
  <c r="J276" i="14"/>
  <c r="J277" i="14"/>
  <c r="J278" i="14"/>
  <c r="J279" i="14"/>
  <c r="J280" i="14"/>
  <c r="J281" i="14"/>
  <c r="J282" i="14"/>
  <c r="J283" i="14"/>
  <c r="J284" i="14"/>
  <c r="J285" i="14"/>
  <c r="J286" i="14"/>
  <c r="J287" i="14"/>
  <c r="J288" i="14"/>
  <c r="J289" i="14"/>
  <c r="J290" i="14"/>
  <c r="J273" i="14"/>
  <c r="J292" i="14" s="1"/>
  <c r="I268" i="14"/>
  <c r="H268" i="14"/>
  <c r="J266" i="14"/>
  <c r="J265" i="14"/>
  <c r="J264" i="14"/>
  <c r="J263" i="14"/>
  <c r="J262" i="14"/>
  <c r="J261" i="14"/>
  <c r="J260" i="14"/>
  <c r="J259" i="14"/>
  <c r="J258" i="14"/>
  <c r="J257" i="14"/>
  <c r="J256" i="14"/>
  <c r="J255" i="14"/>
  <c r="J254" i="14"/>
  <c r="J253" i="14"/>
  <c r="J252" i="14"/>
  <c r="J251" i="14"/>
  <c r="J250" i="14"/>
  <c r="J249" i="14"/>
  <c r="J248" i="14"/>
  <c r="J247" i="14"/>
  <c r="J246" i="14"/>
  <c r="J245" i="14"/>
  <c r="J244" i="14"/>
  <c r="J243" i="14"/>
  <c r="J242" i="14"/>
  <c r="J241" i="14"/>
  <c r="J240" i="14"/>
  <c r="J239" i="14"/>
  <c r="J238" i="14"/>
  <c r="J237" i="14"/>
  <c r="J236" i="14"/>
  <c r="J235" i="14"/>
  <c r="J234" i="14"/>
  <c r="J233" i="14"/>
  <c r="J232" i="14"/>
  <c r="J231" i="14"/>
  <c r="J230" i="14"/>
  <c r="J229" i="14"/>
  <c r="J228" i="14"/>
  <c r="J227" i="14"/>
  <c r="J226" i="14"/>
  <c r="J225" i="14"/>
  <c r="J224" i="14"/>
  <c r="J223" i="14"/>
  <c r="J222" i="14"/>
  <c r="J221" i="14"/>
  <c r="J220" i="14"/>
  <c r="J219" i="14"/>
  <c r="J218" i="14"/>
  <c r="J217" i="14"/>
  <c r="J216" i="14"/>
  <c r="J215" i="14"/>
  <c r="J214" i="14"/>
  <c r="J213" i="14"/>
  <c r="J212" i="14"/>
  <c r="J211" i="14"/>
  <c r="J210" i="14"/>
  <c r="J209" i="14"/>
  <c r="J208" i="14"/>
  <c r="J207" i="14"/>
  <c r="J206" i="14"/>
  <c r="J205" i="14"/>
  <c r="J204" i="14"/>
  <c r="J203" i="14"/>
  <c r="J202" i="14"/>
  <c r="J201" i="14"/>
  <c r="J200" i="14"/>
  <c r="J199" i="14"/>
  <c r="J198" i="14"/>
  <c r="J197" i="14"/>
  <c r="J196" i="14"/>
  <c r="J195" i="14"/>
  <c r="J194" i="14"/>
  <c r="J193" i="14"/>
  <c r="J192" i="14"/>
  <c r="J191" i="14"/>
  <c r="J190" i="14"/>
  <c r="J189" i="14"/>
  <c r="J188" i="14"/>
  <c r="J187" i="14"/>
  <c r="J186" i="14"/>
  <c r="J185" i="14"/>
  <c r="J184" i="14"/>
  <c r="J183" i="14"/>
  <c r="J182" i="14"/>
  <c r="J181" i="14"/>
  <c r="J180" i="14"/>
  <c r="J179" i="14"/>
  <c r="J178" i="14"/>
  <c r="J177" i="14"/>
  <c r="J176" i="14"/>
  <c r="J175" i="14"/>
  <c r="J174" i="14"/>
  <c r="J173" i="14"/>
  <c r="J172" i="14"/>
  <c r="J171" i="14"/>
  <c r="J170" i="14"/>
  <c r="J169" i="14"/>
  <c r="J168" i="14"/>
  <c r="J167" i="14"/>
  <c r="J166" i="14"/>
  <c r="J165" i="14"/>
  <c r="J164" i="14"/>
  <c r="J163" i="14"/>
  <c r="J162" i="14"/>
  <c r="J161" i="14"/>
  <c r="J160" i="14"/>
  <c r="J159" i="14"/>
  <c r="J158" i="14"/>
  <c r="J157" i="14"/>
  <c r="J156" i="14"/>
  <c r="J155" i="14"/>
  <c r="J154" i="14"/>
  <c r="J153" i="14"/>
  <c r="J152" i="14"/>
  <c r="J151" i="14"/>
  <c r="J150" i="14"/>
  <c r="J149" i="14"/>
  <c r="J148" i="14"/>
  <c r="J147" i="14"/>
  <c r="J146" i="14"/>
  <c r="J145" i="14"/>
  <c r="J144" i="14"/>
  <c r="J143" i="14"/>
  <c r="J142" i="14"/>
  <c r="J141" i="14"/>
  <c r="J140" i="14"/>
  <c r="J139" i="14"/>
  <c r="J138" i="14"/>
  <c r="J137" i="14"/>
  <c r="J136" i="14"/>
  <c r="J135" i="14"/>
  <c r="J134" i="14"/>
  <c r="J133" i="14"/>
  <c r="J132" i="14"/>
  <c r="J131" i="14"/>
  <c r="J130" i="14"/>
  <c r="J129" i="14"/>
  <c r="J128" i="14"/>
  <c r="J127" i="14"/>
  <c r="J126" i="14"/>
  <c r="J125" i="14"/>
  <c r="J124" i="14"/>
  <c r="J123" i="14"/>
  <c r="J122" i="14"/>
  <c r="J121" i="14"/>
  <c r="J120" i="14"/>
  <c r="J119" i="14"/>
  <c r="J118" i="14"/>
  <c r="J117" i="14"/>
  <c r="J116" i="14"/>
  <c r="J115" i="14"/>
  <c r="J114" i="14"/>
  <c r="J113" i="14"/>
  <c r="J112" i="14"/>
  <c r="J111" i="14"/>
  <c r="J110" i="14"/>
  <c r="J109" i="14"/>
  <c r="J108" i="14"/>
  <c r="J107" i="14"/>
  <c r="J106" i="14"/>
  <c r="J105" i="14"/>
  <c r="J104" i="14"/>
  <c r="J103" i="14"/>
  <c r="J102" i="14"/>
  <c r="J101" i="14"/>
  <c r="J100" i="14"/>
  <c r="J99" i="14"/>
  <c r="J98" i="14"/>
  <c r="J97" i="14"/>
  <c r="J96" i="14"/>
  <c r="J95" i="14"/>
  <c r="J94" i="14"/>
  <c r="J93" i="14"/>
  <c r="J92" i="14"/>
  <c r="J91" i="14"/>
  <c r="J90" i="14"/>
  <c r="J89" i="14"/>
  <c r="J88" i="14"/>
  <c r="J87" i="14"/>
  <c r="J86" i="14"/>
  <c r="J85" i="14"/>
  <c r="J84" i="14"/>
  <c r="J83" i="14"/>
  <c r="J82" i="14"/>
  <c r="J81" i="14"/>
  <c r="J80" i="14"/>
  <c r="J79" i="14"/>
  <c r="J78" i="14"/>
  <c r="J77" i="14"/>
  <c r="J76" i="14"/>
  <c r="J75" i="14"/>
  <c r="J74" i="14"/>
  <c r="J73" i="14"/>
  <c r="J72" i="14"/>
  <c r="J71" i="14"/>
  <c r="J70" i="14"/>
  <c r="J69" i="14"/>
  <c r="J68" i="14"/>
  <c r="J67" i="14"/>
  <c r="J66" i="14"/>
  <c r="J65" i="14"/>
  <c r="J64" i="14"/>
  <c r="J63" i="14"/>
  <c r="J62" i="14"/>
  <c r="J61" i="14"/>
  <c r="J60" i="14"/>
  <c r="J59" i="14"/>
  <c r="J58" i="14"/>
  <c r="J57" i="14"/>
  <c r="J56" i="14"/>
  <c r="J55" i="14"/>
  <c r="J54" i="14"/>
  <c r="J53" i="14"/>
  <c r="J52" i="14"/>
  <c r="J51" i="14"/>
  <c r="J50" i="14"/>
  <c r="J49" i="14"/>
  <c r="J48" i="14"/>
  <c r="J47" i="14"/>
  <c r="J46" i="14"/>
  <c r="J45" i="14"/>
  <c r="J44" i="14"/>
  <c r="J43" i="14"/>
  <c r="J42" i="14"/>
  <c r="J41" i="14"/>
  <c r="J40" i="14"/>
  <c r="J39" i="14"/>
  <c r="J38" i="14"/>
  <c r="J37" i="14"/>
  <c r="J36" i="14"/>
  <c r="J35" i="14"/>
  <c r="J34" i="14"/>
  <c r="J33" i="14"/>
  <c r="J32" i="14"/>
  <c r="J31" i="14"/>
  <c r="J30" i="14"/>
  <c r="J29" i="14"/>
  <c r="J28" i="14"/>
  <c r="J27" i="14"/>
  <c r="J26" i="14"/>
  <c r="J25" i="14"/>
  <c r="J24" i="14"/>
  <c r="J23" i="14"/>
  <c r="J22" i="14"/>
  <c r="J1652" i="14"/>
  <c r="M3" i="14"/>
  <c r="J1616" i="14"/>
  <c r="J1733" i="14"/>
  <c r="J1734" i="14"/>
  <c r="J1735" i="14"/>
  <c r="J1736" i="14"/>
  <c r="J1737" i="14"/>
  <c r="J1738" i="14"/>
  <c r="J1739" i="14"/>
  <c r="J1740" i="14"/>
  <c r="J1741" i="14"/>
  <c r="J1742" i="14"/>
  <c r="J1743" i="14"/>
  <c r="J1744" i="14"/>
  <c r="J1745" i="14"/>
  <c r="J1746" i="14"/>
  <c r="J1747" i="14"/>
  <c r="J1748" i="14"/>
  <c r="J1749" i="14"/>
  <c r="J1750" i="14"/>
  <c r="J1598" i="14"/>
  <c r="J1597" i="14"/>
  <c r="J1596" i="14"/>
  <c r="J1595" i="14"/>
  <c r="J1594" i="14"/>
  <c r="J1593" i="14"/>
  <c r="J1592" i="14"/>
  <c r="J1591" i="14"/>
  <c r="J1590" i="14"/>
  <c r="J1589" i="14"/>
  <c r="J1588" i="14"/>
  <c r="J1587" i="14"/>
  <c r="J1586" i="14"/>
  <c r="J1585" i="14"/>
  <c r="J1584" i="14"/>
  <c r="J1583" i="14"/>
  <c r="J1582" i="14"/>
  <c r="J1581" i="14"/>
  <c r="J1580" i="14"/>
  <c r="J1579" i="14"/>
  <c r="J1578" i="14"/>
  <c r="J1577" i="14"/>
  <c r="J1576" i="14"/>
  <c r="J1575" i="14"/>
  <c r="J1574" i="14"/>
  <c r="J1573" i="14"/>
  <c r="J1572" i="14"/>
  <c r="J1571" i="14"/>
  <c r="J1570" i="14"/>
  <c r="J1569" i="14"/>
  <c r="J1568" i="14"/>
  <c r="J1567" i="14"/>
  <c r="J1566" i="14"/>
  <c r="J1565" i="14"/>
  <c r="J1564" i="14"/>
  <c r="J1563" i="14"/>
  <c r="J1562" i="14"/>
  <c r="J1561" i="14"/>
  <c r="J1560" i="14"/>
  <c r="J1559" i="14"/>
  <c r="J1558" i="14"/>
  <c r="J1557" i="14"/>
  <c r="J1556" i="14"/>
  <c r="J1555" i="14"/>
  <c r="J1554" i="14"/>
  <c r="J1553" i="14"/>
  <c r="J1552" i="14"/>
  <c r="J1551" i="14"/>
  <c r="J1550" i="14"/>
  <c r="J1549" i="14"/>
  <c r="J1548" i="14"/>
  <c r="J1547" i="14"/>
  <c r="J1546" i="14"/>
  <c r="J1545" i="14"/>
  <c r="J1544" i="14"/>
  <c r="J1543" i="14"/>
  <c r="J1542" i="14"/>
  <c r="J1541" i="14"/>
  <c r="J1540" i="14"/>
  <c r="J1539" i="14"/>
  <c r="J1538" i="14"/>
  <c r="J1537" i="14"/>
  <c r="J1536" i="14"/>
  <c r="J1535" i="14"/>
  <c r="J1534" i="14"/>
  <c r="J1533" i="14"/>
  <c r="J1532" i="14"/>
  <c r="J1531" i="14"/>
  <c r="J1530" i="14"/>
  <c r="J1529" i="14"/>
  <c r="J1528" i="14"/>
  <c r="J1527" i="14"/>
  <c r="J1526" i="14"/>
  <c r="J1525" i="14"/>
  <c r="J1524" i="14"/>
  <c r="J1523" i="14"/>
  <c r="J1522" i="14"/>
  <c r="J1521" i="14"/>
  <c r="J1520" i="14"/>
  <c r="J1519" i="14"/>
  <c r="J1518" i="14"/>
  <c r="J1517" i="14"/>
  <c r="J1516" i="14"/>
  <c r="J1515" i="14"/>
  <c r="J1514" i="14"/>
  <c r="J1513" i="14"/>
  <c r="J1512" i="14"/>
  <c r="J1511" i="14"/>
  <c r="J1510" i="14"/>
  <c r="J1509" i="14"/>
  <c r="J1508" i="14"/>
  <c r="J1507" i="14"/>
  <c r="J1506" i="14"/>
  <c r="J1505" i="14"/>
  <c r="J1504" i="14"/>
  <c r="J1503" i="14"/>
  <c r="J1502" i="14"/>
  <c r="J1501" i="14"/>
  <c r="J1500" i="14"/>
  <c r="J1499" i="14"/>
  <c r="J1498" i="14"/>
  <c r="J1497" i="14"/>
  <c r="J1496" i="14"/>
  <c r="J1495" i="14"/>
  <c r="J1494" i="14"/>
  <c r="J1493" i="14"/>
  <c r="J1492" i="14"/>
  <c r="J1491" i="14"/>
  <c r="J1490" i="14"/>
  <c r="J1489" i="14"/>
  <c r="J1488" i="14"/>
  <c r="J1487" i="14"/>
  <c r="J1486" i="14"/>
  <c r="J1485" i="14"/>
  <c r="J1484" i="14"/>
  <c r="J1483" i="14"/>
  <c r="J1482" i="14"/>
  <c r="J1481" i="14"/>
  <c r="J1480" i="14"/>
  <c r="J1479" i="14"/>
  <c r="J1478" i="14"/>
  <c r="J1477" i="14"/>
  <c r="J1476" i="14"/>
  <c r="J1475" i="14"/>
  <c r="J1474" i="14"/>
  <c r="J1473" i="14"/>
  <c r="J1472" i="14"/>
  <c r="J1471" i="14"/>
  <c r="J1470" i="14"/>
  <c r="J1469" i="14"/>
  <c r="J1468" i="14"/>
  <c r="J1467" i="14"/>
  <c r="J1466" i="14"/>
  <c r="J1465" i="14"/>
  <c r="J1464" i="14"/>
  <c r="J1463" i="14"/>
  <c r="J1462" i="14"/>
  <c r="J1461" i="14"/>
  <c r="J1460" i="14"/>
  <c r="J1459" i="14"/>
  <c r="J1458" i="14"/>
  <c r="J1457" i="14"/>
  <c r="J1456" i="14"/>
  <c r="J1455" i="14"/>
  <c r="J1454" i="14"/>
  <c r="J1453" i="14"/>
  <c r="J1452" i="14"/>
  <c r="J1451" i="14"/>
  <c r="J1450" i="14"/>
  <c r="J1449" i="14"/>
  <c r="J1448" i="14"/>
  <c r="J1447" i="14"/>
  <c r="J1446" i="14"/>
  <c r="J1445" i="14"/>
  <c r="J1444" i="14"/>
  <c r="J1443" i="14"/>
  <c r="J1442" i="14"/>
  <c r="J1441" i="14"/>
  <c r="J1440" i="14"/>
  <c r="J1439" i="14"/>
  <c r="J1438" i="14"/>
  <c r="J1437" i="14"/>
  <c r="J1436" i="14"/>
  <c r="J1435" i="14"/>
  <c r="J1434" i="14"/>
  <c r="J1433" i="14"/>
  <c r="J1432" i="14"/>
  <c r="J1431" i="14"/>
  <c r="J1430" i="14"/>
  <c r="J1429" i="14"/>
  <c r="J1428" i="14"/>
  <c r="J1427" i="14"/>
  <c r="J1426" i="14"/>
  <c r="J1425" i="14"/>
  <c r="J1424" i="14"/>
  <c r="J1423" i="14"/>
  <c r="J1422" i="14"/>
  <c r="J1421" i="14"/>
  <c r="J1420" i="14"/>
  <c r="J1419" i="14"/>
  <c r="J1418" i="14"/>
  <c r="J1417" i="14"/>
  <c r="J1416" i="14"/>
  <c r="J1415" i="14"/>
  <c r="J1414" i="14"/>
  <c r="J1413" i="14"/>
  <c r="J1412" i="14"/>
  <c r="J1411" i="14"/>
  <c r="J1410" i="14"/>
  <c r="J1409" i="14"/>
  <c r="J1408" i="14"/>
  <c r="J1407" i="14"/>
  <c r="J1406" i="14"/>
  <c r="J1725" i="14"/>
  <c r="J1726" i="14"/>
  <c r="J1727" i="14"/>
  <c r="J1728" i="14"/>
  <c r="J1729" i="14"/>
  <c r="J1730" i="14"/>
  <c r="J1731" i="14"/>
  <c r="J1732" i="14"/>
  <c r="J1405" i="14"/>
  <c r="J1404" i="14"/>
  <c r="J1403" i="14"/>
  <c r="J1402" i="14"/>
  <c r="J1401" i="14"/>
  <c r="J1400" i="14"/>
  <c r="J1399" i="14"/>
  <c r="J1398" i="14"/>
  <c r="J1397" i="14"/>
  <c r="J1396" i="14"/>
  <c r="J1395" i="14"/>
  <c r="J1394" i="14"/>
  <c r="J1393" i="14"/>
  <c r="J1392" i="14"/>
  <c r="J1391" i="14"/>
  <c r="J1390" i="14"/>
  <c r="J1389" i="14"/>
  <c r="J1388" i="14"/>
  <c r="J1387" i="14"/>
  <c r="J1386" i="14"/>
  <c r="J1385" i="14"/>
  <c r="J1384" i="14"/>
  <c r="J1383" i="14"/>
  <c r="J1382" i="14"/>
  <c r="J1381" i="14"/>
  <c r="J1380" i="14"/>
  <c r="J1379" i="14"/>
  <c r="J1378" i="14"/>
  <c r="J1377" i="14"/>
  <c r="J1376" i="14"/>
  <c r="J1375" i="14"/>
  <c r="J1374" i="14"/>
  <c r="J1373" i="14"/>
  <c r="J1372" i="14"/>
  <c r="J1371" i="14"/>
  <c r="J1370" i="14"/>
  <c r="J1369" i="14"/>
  <c r="J1368" i="14"/>
  <c r="J1367" i="14"/>
  <c r="J1366" i="14"/>
  <c r="J1365" i="14"/>
  <c r="J1364" i="14"/>
  <c r="J1363" i="14"/>
  <c r="J1362" i="14"/>
  <c r="J1361" i="14"/>
  <c r="J1360" i="14"/>
  <c r="J1359" i="14"/>
  <c r="J1358" i="14"/>
  <c r="J1357" i="14"/>
  <c r="J1356" i="14"/>
  <c r="J1355" i="14"/>
  <c r="J1354" i="14"/>
  <c r="J1353" i="14"/>
  <c r="J1352" i="14"/>
  <c r="J1351" i="14"/>
  <c r="J1350" i="14"/>
  <c r="J1349" i="14"/>
  <c r="J1348" i="14"/>
  <c r="J1347" i="14"/>
  <c r="J1346" i="14"/>
  <c r="J1345" i="14"/>
  <c r="J1344" i="14"/>
  <c r="J1343" i="14"/>
  <c r="J1342" i="14"/>
  <c r="J1341" i="14"/>
  <c r="J1340" i="14"/>
  <c r="J1339" i="14"/>
  <c r="J1338" i="14"/>
  <c r="J1337" i="14"/>
  <c r="J1336" i="14"/>
  <c r="J1335" i="14"/>
  <c r="J1334" i="14"/>
  <c r="J1333" i="14"/>
  <c r="J1332" i="14"/>
  <c r="J1331" i="14"/>
  <c r="J1330" i="14"/>
  <c r="J1329" i="14"/>
  <c r="J1328" i="14"/>
  <c r="J1327" i="14"/>
  <c r="J1326" i="14"/>
  <c r="J1325" i="14"/>
  <c r="J1324" i="14"/>
  <c r="J1323" i="14"/>
  <c r="J1322" i="14"/>
  <c r="J1321" i="14"/>
  <c r="J1320" i="14"/>
  <c r="J1319" i="14"/>
  <c r="J1318" i="14"/>
  <c r="J1317" i="14"/>
  <c r="J1316" i="14"/>
  <c r="J1315" i="14"/>
  <c r="J1314" i="14"/>
  <c r="J1313" i="14"/>
  <c r="J1312" i="14"/>
  <c r="J1311" i="14"/>
  <c r="J1310" i="14"/>
  <c r="J1309" i="14"/>
  <c r="J1308" i="14"/>
  <c r="J1307" i="14"/>
  <c r="J1306" i="14"/>
  <c r="J1305" i="14"/>
  <c r="J1304" i="14"/>
  <c r="J1303" i="14"/>
  <c r="J1302" i="14"/>
  <c r="J1301" i="14"/>
  <c r="J1300" i="14"/>
  <c r="J1299" i="14"/>
  <c r="J1298" i="14"/>
  <c r="J1297" i="14"/>
  <c r="J1296" i="14"/>
  <c r="J1295" i="14"/>
  <c r="J1294" i="14"/>
  <c r="J1293" i="14"/>
  <c r="J1292" i="14"/>
  <c r="J1291" i="14"/>
  <c r="J1290" i="14"/>
  <c r="J1289" i="14"/>
  <c r="J1288" i="14"/>
  <c r="J1287" i="14"/>
  <c r="J1286" i="14"/>
  <c r="J1285" i="14"/>
  <c r="J1284" i="14"/>
  <c r="J1283" i="14"/>
  <c r="J1282" i="14"/>
  <c r="J1281" i="14"/>
  <c r="J1280" i="14"/>
  <c r="J1279" i="14"/>
  <c r="J1278" i="14"/>
  <c r="J1277" i="14"/>
  <c r="J1276" i="14"/>
  <c r="J1275" i="14"/>
  <c r="J1274" i="14"/>
  <c r="J1273" i="14"/>
  <c r="J1272" i="14"/>
  <c r="J1271" i="14"/>
  <c r="J1270" i="14"/>
  <c r="J1269" i="14"/>
  <c r="J1268" i="14"/>
  <c r="J1267" i="14"/>
  <c r="J1266" i="14"/>
  <c r="J1265" i="14"/>
  <c r="J1264" i="14"/>
  <c r="J1263" i="14"/>
  <c r="J1262" i="14"/>
  <c r="J1261" i="14"/>
  <c r="J1260" i="14"/>
  <c r="J1259" i="14"/>
  <c r="J1258" i="14"/>
  <c r="J1257" i="14"/>
  <c r="J1256" i="14"/>
  <c r="J1255" i="14"/>
  <c r="J1254" i="14"/>
  <c r="J1253" i="14"/>
  <c r="J1252" i="14"/>
  <c r="J1646" i="14"/>
  <c r="J1647" i="14"/>
  <c r="J1648" i="14"/>
  <c r="J1642" i="14"/>
  <c r="J1649" i="14"/>
  <c r="J1650" i="14"/>
  <c r="J1651" i="14"/>
  <c r="J1653" i="14"/>
  <c r="J1654" i="14"/>
  <c r="J1655" i="14"/>
  <c r="J1656" i="14"/>
  <c r="J1657" i="14"/>
  <c r="J1658" i="14"/>
  <c r="J1659" i="14"/>
  <c r="J1660" i="14"/>
  <c r="J1661" i="14"/>
  <c r="J1662" i="14"/>
  <c r="J1663" i="14"/>
  <c r="J1664" i="14"/>
  <c r="J1665" i="14"/>
  <c r="J1666" i="14"/>
  <c r="J1667" i="14"/>
  <c r="J1668" i="14"/>
  <c r="J1669" i="14"/>
  <c r="J1670" i="14"/>
  <c r="J1671" i="14"/>
  <c r="J1672" i="14"/>
  <c r="J1673" i="14"/>
  <c r="J1674" i="14"/>
  <c r="J1675" i="14"/>
  <c r="J1676" i="14"/>
  <c r="J1677" i="14"/>
  <c r="J1678" i="14"/>
  <c r="J1679" i="14"/>
  <c r="J1680" i="14"/>
  <c r="J1681" i="14"/>
  <c r="J1682" i="14"/>
  <c r="J1683" i="14"/>
  <c r="J1684" i="14"/>
  <c r="J1685" i="14"/>
  <c r="J1686" i="14"/>
  <c r="J1687" i="14"/>
  <c r="J1688" i="14"/>
  <c r="J1689" i="14"/>
  <c r="J1690" i="14"/>
  <c r="J1691" i="14"/>
  <c r="J1692" i="14"/>
  <c r="J1693" i="14"/>
  <c r="J1694" i="14"/>
  <c r="J1695" i="14"/>
  <c r="J1696" i="14"/>
  <c r="J1697" i="14"/>
  <c r="J1698" i="14"/>
  <c r="J1699" i="14"/>
  <c r="J1700" i="14"/>
  <c r="J1701" i="14"/>
  <c r="J1702" i="14"/>
  <c r="J1703" i="14"/>
  <c r="J1704" i="14"/>
  <c r="J1705" i="14"/>
  <c r="J1706" i="14"/>
  <c r="J1707" i="14"/>
  <c r="J1708" i="14"/>
  <c r="J1709" i="14"/>
  <c r="J1710" i="14"/>
  <c r="J1711" i="14"/>
  <c r="J1712" i="14"/>
  <c r="J1713" i="14"/>
  <c r="J1714" i="14"/>
  <c r="J1715" i="14"/>
  <c r="J1716" i="14"/>
  <c r="J1717" i="14"/>
  <c r="J1718" i="14"/>
  <c r="J1719" i="14"/>
  <c r="J1720" i="14"/>
  <c r="J1721" i="14"/>
  <c r="J1722" i="14"/>
  <c r="J1723" i="14"/>
  <c r="J1724" i="14"/>
  <c r="J1251" i="14"/>
  <c r="J1250" i="14"/>
  <c r="J1249" i="14"/>
  <c r="J1248" i="14"/>
  <c r="J1247" i="14"/>
  <c r="J1246" i="14"/>
  <c r="J1245" i="14"/>
  <c r="J1244" i="14"/>
  <c r="J1243" i="14"/>
  <c r="J1242" i="14"/>
  <c r="J1241" i="14"/>
  <c r="J1240" i="14"/>
  <c r="J1239" i="14"/>
  <c r="J1238" i="14"/>
  <c r="J1237" i="14"/>
  <c r="J1236" i="14"/>
  <c r="J1235" i="14"/>
  <c r="J1234" i="14"/>
  <c r="J1233" i="14"/>
  <c r="J1232" i="14"/>
  <c r="J1231" i="14"/>
  <c r="J1230" i="14"/>
  <c r="J1229" i="14"/>
  <c r="J1228" i="14"/>
  <c r="J1227" i="14"/>
  <c r="J1226" i="14"/>
  <c r="J1225" i="14"/>
  <c r="J1224" i="14"/>
  <c r="J1223" i="14"/>
  <c r="J1222" i="14"/>
  <c r="J1221" i="14"/>
  <c r="J1220" i="14"/>
  <c r="J1219" i="14"/>
  <c r="J1218" i="14"/>
  <c r="J1217" i="14"/>
  <c r="J1216" i="14"/>
  <c r="J1215" i="14"/>
  <c r="J1214" i="14"/>
  <c r="J1213" i="14"/>
  <c r="J1212" i="14"/>
  <c r="J1211" i="14"/>
  <c r="J1210" i="14"/>
  <c r="J1209" i="14"/>
  <c r="J1208" i="14"/>
  <c r="J1207" i="14"/>
  <c r="J1206" i="14"/>
  <c r="J1205" i="14"/>
  <c r="J1204" i="14"/>
  <c r="J1203" i="14"/>
  <c r="J1202" i="14"/>
  <c r="J1201" i="14"/>
  <c r="J1200" i="14"/>
  <c r="J1199" i="14"/>
  <c r="J1198" i="14"/>
  <c r="J1197" i="14"/>
  <c r="J1196" i="14"/>
  <c r="J1195" i="14"/>
  <c r="J1194" i="14"/>
  <c r="J1193" i="14"/>
  <c r="J1192" i="14"/>
  <c r="J1191" i="14"/>
  <c r="J1190" i="14"/>
  <c r="J1189" i="14"/>
  <c r="J1188" i="14"/>
  <c r="J1187" i="14"/>
  <c r="J1186" i="14"/>
  <c r="J1185" i="14"/>
  <c r="J1184" i="14"/>
  <c r="J1183" i="14"/>
  <c r="J1182" i="14"/>
  <c r="J1599" i="14"/>
  <c r="J1600" i="14"/>
  <c r="J1601" i="14"/>
  <c r="J1602" i="14"/>
  <c r="J1603" i="14"/>
  <c r="J1604" i="14"/>
  <c r="J1605" i="14"/>
  <c r="J1606" i="14"/>
  <c r="J1607" i="14"/>
  <c r="J1608" i="14"/>
  <c r="J1609" i="14"/>
  <c r="J1610" i="14"/>
  <c r="J1611" i="14"/>
  <c r="J1612" i="14"/>
  <c r="J1613" i="14"/>
  <c r="J1614" i="14"/>
  <c r="J1615" i="14"/>
  <c r="J1617" i="14"/>
  <c r="J1618" i="14"/>
  <c r="J1619" i="14"/>
  <c r="J1620" i="14"/>
  <c r="J1621" i="14"/>
  <c r="J1622" i="14"/>
  <c r="J1623" i="14"/>
  <c r="J1624" i="14"/>
  <c r="J1625" i="14"/>
  <c r="J1626" i="14"/>
  <c r="J1627" i="14"/>
  <c r="J1628" i="14"/>
  <c r="J1629" i="14"/>
  <c r="J1630" i="14"/>
  <c r="J1631" i="14"/>
  <c r="J1632" i="14"/>
  <c r="J1633" i="14"/>
  <c r="J1634" i="14"/>
  <c r="J1635" i="14"/>
  <c r="J1636" i="14"/>
  <c r="J1637" i="14"/>
  <c r="J1638" i="14"/>
  <c r="J1639" i="14"/>
  <c r="J1640" i="14"/>
  <c r="J1641" i="14"/>
  <c r="J1643" i="14"/>
  <c r="J1644" i="14"/>
  <c r="J1645" i="14"/>
  <c r="J1181" i="14"/>
  <c r="J1180" i="14"/>
  <c r="J1179" i="14"/>
  <c r="J1178" i="14"/>
  <c r="J1177" i="14"/>
  <c r="J1176" i="14"/>
  <c r="J1175" i="14"/>
  <c r="J1174" i="14"/>
  <c r="J1173" i="14"/>
  <c r="J1172" i="14"/>
  <c r="J1171" i="14"/>
  <c r="J1170" i="14"/>
  <c r="J1169" i="14"/>
  <c r="J1168" i="14"/>
  <c r="J1167" i="14"/>
  <c r="J1166" i="14"/>
  <c r="J1165" i="14"/>
  <c r="J1164" i="14"/>
  <c r="J1163" i="14"/>
  <c r="J1162" i="14"/>
  <c r="J1161" i="14"/>
  <c r="J1160" i="14"/>
  <c r="J1159" i="14"/>
  <c r="J1158" i="14"/>
  <c r="J1157" i="14"/>
  <c r="J1156" i="14"/>
  <c r="J1155" i="14"/>
  <c r="J1154" i="14"/>
  <c r="J1153" i="14"/>
  <c r="J1152" i="14"/>
  <c r="J1151" i="14"/>
  <c r="J1150" i="14"/>
  <c r="J1149" i="14"/>
  <c r="J1148" i="14"/>
  <c r="J1147" i="14"/>
  <c r="J1146" i="14"/>
  <c r="J1145" i="14"/>
  <c r="J1144" i="14"/>
  <c r="J1143" i="14"/>
  <c r="J1142" i="14"/>
  <c r="J1141" i="14"/>
  <c r="J1140" i="14"/>
  <c r="J1139" i="14"/>
  <c r="J1138" i="14"/>
  <c r="J1137" i="14"/>
  <c r="J1136" i="14"/>
  <c r="J1135" i="14"/>
  <c r="J1134" i="14"/>
  <c r="J1133" i="14"/>
  <c r="J1132" i="14"/>
  <c r="J1131" i="14"/>
  <c r="J1130" i="14"/>
  <c r="J1129" i="14"/>
  <c r="J1128" i="14"/>
  <c r="J1127" i="14"/>
  <c r="J1126" i="14"/>
  <c r="J1125" i="14"/>
  <c r="J1124" i="14"/>
  <c r="J1123" i="14"/>
  <c r="J1122" i="14"/>
  <c r="J1121" i="14"/>
  <c r="J1120" i="14"/>
  <c r="J1119" i="14"/>
  <c r="J1118" i="14"/>
  <c r="J1117" i="14"/>
  <c r="J1116" i="14"/>
  <c r="J1115" i="14"/>
  <c r="J1114" i="14"/>
  <c r="J1113" i="14"/>
  <c r="J1112" i="14"/>
  <c r="J1111" i="14"/>
  <c r="J1110" i="14"/>
  <c r="J1109" i="14"/>
  <c r="J1108" i="14"/>
  <c r="J1107" i="14"/>
  <c r="J1106" i="14"/>
  <c r="J1105" i="14"/>
  <c r="J1104" i="14"/>
  <c r="J1103" i="14"/>
  <c r="J1102" i="14"/>
  <c r="J1101" i="14"/>
  <c r="J1100" i="14"/>
  <c r="J1099" i="14"/>
  <c r="J1098" i="14"/>
  <c r="J1097" i="14"/>
  <c r="J1096" i="14"/>
  <c r="J1095" i="14"/>
  <c r="J1094" i="14"/>
  <c r="J1093" i="14"/>
  <c r="J1092" i="14"/>
  <c r="J1091" i="14"/>
  <c r="J1090" i="14"/>
  <c r="J1089" i="14"/>
  <c r="J1088" i="14"/>
  <c r="J1087" i="14"/>
  <c r="J1086" i="14"/>
  <c r="J1085" i="14"/>
  <c r="J1084" i="14"/>
  <c r="J1083" i="14"/>
  <c r="J1082" i="14"/>
  <c r="J1081" i="14"/>
  <c r="J1080" i="14"/>
  <c r="J1079" i="14"/>
  <c r="J1078" i="14"/>
  <c r="J1077" i="14"/>
  <c r="J1076" i="14"/>
  <c r="J1075" i="14"/>
  <c r="J1074" i="14"/>
  <c r="J1073" i="14"/>
  <c r="J1072" i="14"/>
  <c r="J1071" i="14"/>
  <c r="J1070" i="14"/>
  <c r="J1069" i="14"/>
  <c r="J1068" i="14"/>
  <c r="J1067" i="14"/>
  <c r="J1066" i="14"/>
  <c r="J1065" i="14"/>
  <c r="J1064" i="14"/>
  <c r="J1063" i="14"/>
  <c r="J1062" i="14"/>
  <c r="J1061" i="14"/>
  <c r="J1060" i="14"/>
  <c r="J1059" i="14"/>
  <c r="J1058" i="14"/>
  <c r="J1057" i="14"/>
  <c r="J1056" i="14"/>
  <c r="J1055" i="14"/>
  <c r="J1054" i="14"/>
  <c r="J1053" i="14"/>
  <c r="J1052" i="14"/>
  <c r="J1051" i="14"/>
  <c r="J1050" i="14"/>
  <c r="J1049" i="14"/>
  <c r="J1048" i="14"/>
  <c r="J1047" i="14"/>
  <c r="J1046" i="14"/>
  <c r="J1045" i="14"/>
  <c r="J1044" i="14"/>
  <c r="J1043" i="14"/>
  <c r="J1042" i="14"/>
  <c r="J1041" i="14"/>
  <c r="J1040" i="14"/>
  <c r="J1038" i="14"/>
  <c r="J1037" i="14"/>
  <c r="J1036" i="14"/>
  <c r="J1035" i="14"/>
  <c r="J1034" i="14"/>
  <c r="J1033" i="14"/>
  <c r="J1032" i="14"/>
  <c r="J1031" i="14"/>
  <c r="J1030" i="14"/>
  <c r="J1029" i="14"/>
  <c r="J1028" i="14"/>
  <c r="J1027" i="14"/>
  <c r="J1026" i="14"/>
  <c r="J1025" i="14"/>
  <c r="J1024" i="14"/>
  <c r="J1023" i="14"/>
  <c r="J1022" i="14"/>
  <c r="J1021" i="14"/>
  <c r="J1020" i="14"/>
  <c r="J1019" i="14"/>
  <c r="J1018" i="14"/>
  <c r="J1017" i="14"/>
  <c r="J1016" i="14"/>
  <c r="J1015" i="14"/>
  <c r="J1014" i="14"/>
  <c r="J1013" i="14"/>
  <c r="J1012" i="14"/>
  <c r="J1011" i="14"/>
  <c r="J1010" i="14"/>
  <c r="J1009" i="14"/>
  <c r="J1008" i="14"/>
  <c r="J1007" i="14"/>
  <c r="J1006" i="14"/>
  <c r="J1005" i="14"/>
  <c r="J1004" i="14"/>
  <c r="J1003" i="14"/>
  <c r="J1002" i="14"/>
  <c r="J1001" i="14"/>
  <c r="J1000" i="14"/>
  <c r="J999" i="14"/>
  <c r="J998" i="14"/>
  <c r="J997" i="14"/>
  <c r="J996" i="14"/>
  <c r="J995" i="14"/>
  <c r="J994" i="14"/>
  <c r="J993" i="14"/>
  <c r="J992" i="14"/>
  <c r="J991" i="14"/>
  <c r="J990" i="14"/>
  <c r="J989" i="14"/>
  <c r="J988" i="14"/>
  <c r="J987" i="14"/>
  <c r="J986" i="14"/>
  <c r="J985" i="14"/>
  <c r="J984" i="14"/>
  <c r="J983" i="14"/>
  <c r="J982" i="14"/>
  <c r="J981" i="14"/>
  <c r="J980" i="14"/>
  <c r="J979" i="14"/>
  <c r="J978" i="14"/>
  <c r="J977" i="14"/>
  <c r="J976" i="14"/>
  <c r="J975" i="14"/>
  <c r="J974" i="14"/>
  <c r="J973" i="14"/>
  <c r="J972" i="14"/>
  <c r="J971" i="14"/>
  <c r="J970" i="14"/>
  <c r="J969" i="14"/>
  <c r="J968" i="14"/>
  <c r="J967" i="14"/>
  <c r="J966" i="14"/>
  <c r="J965" i="14"/>
  <c r="J964" i="14"/>
  <c r="J963" i="14"/>
  <c r="J962" i="14"/>
  <c r="J961" i="14"/>
  <c r="J960" i="14"/>
  <c r="J959" i="14"/>
  <c r="J958" i="14"/>
  <c r="J957" i="14"/>
  <c r="J956" i="14"/>
  <c r="J955" i="14"/>
  <c r="J954" i="14"/>
  <c r="J953" i="14"/>
  <c r="J952" i="14"/>
  <c r="J951" i="14"/>
  <c r="J950" i="14"/>
  <c r="J949" i="14"/>
  <c r="J948" i="14"/>
  <c r="J947" i="14"/>
  <c r="J946" i="14"/>
  <c r="J945" i="14"/>
  <c r="J944" i="14"/>
  <c r="J943" i="14"/>
  <c r="J942" i="14"/>
  <c r="J941" i="14"/>
  <c r="J940" i="14"/>
  <c r="J939" i="14"/>
  <c r="J938" i="14"/>
  <c r="J937" i="14"/>
  <c r="J936" i="14"/>
  <c r="J935" i="14"/>
  <c r="J934" i="14"/>
  <c r="J933" i="14"/>
  <c r="J932" i="14"/>
  <c r="J931" i="14"/>
  <c r="J930" i="14"/>
  <c r="J1039" i="14"/>
  <c r="J921" i="14"/>
  <c r="J922" i="14"/>
  <c r="J853" i="14"/>
  <c r="J854" i="14"/>
  <c r="J855" i="14"/>
  <c r="J856" i="14"/>
  <c r="J857" i="14"/>
  <c r="J858" i="14"/>
  <c r="J859" i="14"/>
  <c r="J860" i="14"/>
  <c r="J861" i="14"/>
  <c r="J862" i="14"/>
  <c r="J863" i="14"/>
  <c r="J864" i="14"/>
  <c r="J865" i="14"/>
  <c r="J866" i="14"/>
  <c r="J867" i="14"/>
  <c r="J868" i="14"/>
  <c r="J869" i="14"/>
  <c r="J870" i="14"/>
  <c r="J871" i="14"/>
  <c r="J872" i="14"/>
  <c r="J873" i="14"/>
  <c r="J874" i="14"/>
  <c r="J875" i="14"/>
  <c r="J876" i="14"/>
  <c r="J877" i="14"/>
  <c r="J878" i="14"/>
  <c r="J879" i="14"/>
  <c r="J880" i="14"/>
  <c r="J881" i="14"/>
  <c r="J882" i="14"/>
  <c r="J883" i="14"/>
  <c r="J884" i="14"/>
  <c r="J885" i="14"/>
  <c r="J886" i="14"/>
  <c r="J887" i="14"/>
  <c r="J888" i="14"/>
  <c r="J889" i="14"/>
  <c r="J890" i="14"/>
  <c r="J891" i="14"/>
  <c r="J892" i="14"/>
  <c r="J893" i="14"/>
  <c r="J894" i="14"/>
  <c r="J895" i="14"/>
  <c r="J896" i="14"/>
  <c r="J897" i="14"/>
  <c r="J898" i="14"/>
  <c r="J899" i="14"/>
  <c r="J900" i="14"/>
  <c r="J901" i="14"/>
  <c r="J902" i="14"/>
  <c r="J903" i="14"/>
  <c r="J904" i="14"/>
  <c r="J905" i="14"/>
  <c r="J906" i="14"/>
  <c r="J907" i="14"/>
  <c r="J908" i="14"/>
  <c r="J909" i="14"/>
  <c r="J910" i="14"/>
  <c r="J911" i="14"/>
  <c r="J912" i="14"/>
  <c r="J913" i="14"/>
  <c r="J914" i="14"/>
  <c r="J915" i="14"/>
  <c r="J916" i="14"/>
  <c r="J917" i="14"/>
  <c r="J918" i="14"/>
  <c r="J919" i="14"/>
  <c r="J849" i="14"/>
  <c r="J848" i="14"/>
  <c r="J847" i="14"/>
  <c r="J846" i="14"/>
  <c r="J845" i="14"/>
  <c r="J844" i="14"/>
  <c r="J843" i="14"/>
  <c r="J842" i="14"/>
  <c r="J841" i="14"/>
  <c r="J840" i="14"/>
  <c r="J839" i="14"/>
  <c r="J838" i="14"/>
  <c r="J837" i="14"/>
  <c r="J836" i="14"/>
  <c r="J835" i="14"/>
  <c r="J834" i="14"/>
  <c r="J833" i="14"/>
  <c r="J832" i="14"/>
  <c r="J831" i="14"/>
  <c r="J830" i="14"/>
  <c r="J829" i="14"/>
  <c r="J828" i="14"/>
  <c r="J827" i="14"/>
  <c r="J826" i="14"/>
  <c r="J825" i="14"/>
  <c r="J824" i="14"/>
  <c r="J823" i="14"/>
  <c r="J822" i="14"/>
  <c r="J821" i="14"/>
  <c r="J820" i="14"/>
  <c r="J819" i="14"/>
  <c r="J818" i="14"/>
  <c r="J817" i="14"/>
  <c r="J816" i="14"/>
  <c r="J815" i="14"/>
  <c r="J814" i="14"/>
  <c r="J813" i="14"/>
  <c r="J812" i="14"/>
  <c r="J811" i="14"/>
  <c r="J810" i="14"/>
  <c r="J809" i="14"/>
  <c r="J808" i="14"/>
  <c r="J807" i="14"/>
  <c r="J806" i="14"/>
  <c r="J805" i="14"/>
  <c r="J804" i="14"/>
  <c r="J803" i="14"/>
  <c r="J802" i="14"/>
  <c r="J801" i="14"/>
  <c r="J800" i="14"/>
  <c r="J799" i="14"/>
  <c r="J798" i="14"/>
  <c r="J797" i="14"/>
  <c r="J796" i="14"/>
  <c r="J795" i="14"/>
  <c r="J794" i="14"/>
  <c r="J793" i="14"/>
  <c r="J792" i="14"/>
  <c r="J791" i="14"/>
  <c r="J790" i="14"/>
  <c r="J789" i="14"/>
  <c r="J788" i="14"/>
  <c r="J787" i="14"/>
  <c r="J786" i="14"/>
  <c r="J785" i="14"/>
  <c r="J929" i="14"/>
  <c r="J928" i="14"/>
  <c r="J926" i="14"/>
  <c r="J927" i="14"/>
  <c r="J925" i="14"/>
  <c r="J924" i="14"/>
  <c r="J923" i="14"/>
  <c r="J920" i="14"/>
  <c r="J852" i="14"/>
  <c r="J851" i="14"/>
  <c r="J850" i="14"/>
  <c r="J268" i="14" l="1"/>
  <c r="I3" i="15"/>
  <c r="J783" i="14"/>
  <c r="J784" i="14"/>
  <c r="J782" i="14" l="1"/>
  <c r="J781" i="14"/>
  <c r="J780" i="14"/>
  <c r="J779" i="14"/>
  <c r="J778" i="14"/>
  <c r="J777" i="14"/>
  <c r="J776" i="14"/>
  <c r="J775" i="14"/>
  <c r="J774" i="14"/>
  <c r="J773" i="14"/>
  <c r="J772" i="14"/>
  <c r="J771" i="14"/>
  <c r="J770" i="14"/>
  <c r="J769" i="14"/>
  <c r="J768" i="14"/>
  <c r="J767" i="14"/>
  <c r="J766" i="14"/>
  <c r="J765" i="14"/>
  <c r="J764" i="14"/>
  <c r="J763" i="14"/>
  <c r="J762" i="14"/>
  <c r="J761" i="14"/>
  <c r="J760" i="14"/>
  <c r="J759" i="14"/>
  <c r="J758" i="14"/>
  <c r="J757" i="14"/>
  <c r="J756" i="14"/>
  <c r="J755" i="14"/>
  <c r="J754" i="14"/>
  <c r="J753" i="14"/>
  <c r="J752" i="14"/>
  <c r="J751" i="14"/>
  <c r="J750" i="14"/>
  <c r="J749" i="14"/>
  <c r="J748" i="14"/>
  <c r="J747" i="14"/>
  <c r="J746" i="14"/>
  <c r="J745" i="14"/>
  <c r="J744" i="14"/>
  <c r="J743" i="14"/>
  <c r="J742" i="14"/>
  <c r="J741" i="14"/>
  <c r="J740" i="14"/>
  <c r="J739" i="14"/>
  <c r="J738" i="14"/>
  <c r="J737" i="14"/>
  <c r="J736" i="14"/>
  <c r="J735" i="14"/>
  <c r="J734" i="14"/>
  <c r="J733" i="14"/>
  <c r="J732" i="14"/>
  <c r="J731" i="14"/>
  <c r="J730" i="14"/>
  <c r="J729" i="14"/>
  <c r="J728" i="14"/>
  <c r="J727" i="14"/>
  <c r="J726" i="14"/>
  <c r="J725" i="14"/>
  <c r="H715" i="14"/>
  <c r="J715" i="14" s="1"/>
  <c r="H716" i="14"/>
  <c r="J716" i="14" s="1"/>
  <c r="J724" i="14"/>
  <c r="J713" i="14"/>
  <c r="J714" i="14"/>
  <c r="J717" i="14"/>
  <c r="J718" i="14" l="1"/>
  <c r="J719" i="14"/>
  <c r="J712" i="14"/>
  <c r="I721" i="14"/>
  <c r="J721" i="14" s="1"/>
  <c r="J720" i="14"/>
  <c r="J723" i="14"/>
  <c r="J722" i="14"/>
  <c r="J638" i="14"/>
  <c r="J711" i="14" l="1"/>
  <c r="H660" i="14"/>
  <c r="J660" i="14" s="1"/>
  <c r="J701" i="14"/>
  <c r="J702" i="14"/>
  <c r="J703" i="14"/>
  <c r="J704" i="14"/>
  <c r="J705" i="14"/>
  <c r="J706" i="14"/>
  <c r="J707" i="14"/>
  <c r="J708" i="14"/>
  <c r="J709" i="14"/>
  <c r="J710" i="14"/>
  <c r="J689" i="14"/>
  <c r="J690" i="14"/>
  <c r="J691" i="14"/>
  <c r="J692" i="14"/>
  <c r="J693" i="14"/>
  <c r="J694" i="14"/>
  <c r="J695" i="14"/>
  <c r="J696" i="14"/>
  <c r="J697" i="14"/>
  <c r="J698" i="14"/>
  <c r="J699" i="14"/>
  <c r="J700" i="14"/>
  <c r="J679" i="14"/>
  <c r="J680" i="14"/>
  <c r="J681" i="14"/>
  <c r="J682" i="14"/>
  <c r="J683" i="14"/>
  <c r="J684" i="14"/>
  <c r="J685" i="14"/>
  <c r="J686" i="14"/>
  <c r="J687" i="14"/>
  <c r="J688" i="14"/>
  <c r="J675" i="14"/>
  <c r="J676" i="14"/>
  <c r="J677" i="14"/>
  <c r="J678" i="14"/>
  <c r="J654" i="14"/>
  <c r="J655" i="14"/>
  <c r="J656" i="14"/>
  <c r="J657" i="14"/>
  <c r="J658" i="14"/>
  <c r="J659" i="14"/>
  <c r="J661" i="14"/>
  <c r="J662" i="14"/>
  <c r="J663" i="14"/>
  <c r="J664" i="14"/>
  <c r="J665" i="14"/>
  <c r="J666" i="14"/>
  <c r="J667" i="14"/>
  <c r="J668" i="14"/>
  <c r="J669" i="14"/>
  <c r="J670" i="14"/>
  <c r="J671" i="14"/>
  <c r="J672" i="14"/>
  <c r="J673" i="14"/>
  <c r="J674" i="14"/>
  <c r="J653" i="14"/>
  <c r="J652" i="14"/>
  <c r="J651" i="14"/>
  <c r="J650" i="14"/>
  <c r="J649" i="14"/>
  <c r="J648" i="14"/>
  <c r="J647" i="14"/>
  <c r="J646" i="14"/>
  <c r="J645" i="14"/>
  <c r="J644" i="14"/>
  <c r="J643" i="14"/>
  <c r="J642" i="14"/>
  <c r="J641" i="14"/>
  <c r="J640" i="14"/>
  <c r="J639" i="14"/>
  <c r="H629" i="14"/>
  <c r="J629" i="14" s="1"/>
  <c r="H625" i="14"/>
  <c r="J625" i="14" s="1"/>
  <c r="J636" i="14"/>
  <c r="J633" i="14"/>
  <c r="J628" i="14" l="1"/>
  <c r="J624" i="14"/>
  <c r="J626" i="14" l="1"/>
  <c r="J627" i="14"/>
  <c r="J622" i="14"/>
  <c r="J623" i="14"/>
  <c r="J634" i="14"/>
  <c r="J630" i="14"/>
  <c r="J637" i="14"/>
  <c r="J635" i="14"/>
  <c r="J632" i="14"/>
  <c r="J631" i="14"/>
  <c r="J621" i="14"/>
  <c r="J618" i="14" l="1"/>
  <c r="J619" i="14"/>
  <c r="J620" i="14"/>
  <c r="J608" i="14"/>
  <c r="J609" i="14"/>
  <c r="J610" i="14"/>
  <c r="J611" i="14"/>
  <c r="J612" i="14"/>
  <c r="J613" i="14"/>
  <c r="J614" i="14"/>
  <c r="J615" i="14"/>
  <c r="J616" i="14"/>
  <c r="J617" i="14"/>
  <c r="J607" i="14"/>
  <c r="J606" i="14"/>
  <c r="J601" i="14"/>
  <c r="J602" i="14"/>
  <c r="J603" i="14"/>
  <c r="J604" i="14"/>
  <c r="J605" i="14"/>
  <c r="J572" i="14"/>
  <c r="J573" i="14"/>
  <c r="J574" i="14"/>
  <c r="J575" i="14"/>
  <c r="J576" i="14"/>
  <c r="J577" i="14"/>
  <c r="J578" i="14"/>
  <c r="J579" i="14"/>
  <c r="J580" i="14"/>
  <c r="J581" i="14"/>
  <c r="J582" i="14"/>
  <c r="J583" i="14"/>
  <c r="J584" i="14"/>
  <c r="J585" i="14"/>
  <c r="J586" i="14"/>
  <c r="J587" i="14"/>
  <c r="J588" i="14"/>
  <c r="J589" i="14"/>
  <c r="J590" i="14"/>
  <c r="J591" i="14"/>
  <c r="J592" i="14"/>
  <c r="J593" i="14"/>
  <c r="J594" i="14"/>
  <c r="J595" i="14"/>
  <c r="J596" i="14"/>
  <c r="J597" i="14"/>
  <c r="J598" i="14"/>
  <c r="J599" i="14"/>
  <c r="J600" i="14"/>
  <c r="J568" i="14"/>
  <c r="J569" i="14"/>
  <c r="J570" i="14"/>
  <c r="J571" i="14"/>
  <c r="J526" i="14"/>
  <c r="J527" i="14"/>
  <c r="J528" i="14"/>
  <c r="J529" i="14"/>
  <c r="J530" i="14"/>
  <c r="J531" i="14"/>
  <c r="J532" i="14"/>
  <c r="J533" i="14"/>
  <c r="J534" i="14"/>
  <c r="J535" i="14"/>
  <c r="J536" i="14"/>
  <c r="J537" i="14"/>
  <c r="J538" i="14"/>
  <c r="J539" i="14"/>
  <c r="J540" i="14"/>
  <c r="J541" i="14"/>
  <c r="J542" i="14"/>
  <c r="J543" i="14"/>
  <c r="J544" i="14"/>
  <c r="J545" i="14"/>
  <c r="J546" i="14"/>
  <c r="J547" i="14"/>
  <c r="J548" i="14"/>
  <c r="J549" i="14"/>
  <c r="J550" i="14"/>
  <c r="J551" i="14"/>
  <c r="J552" i="14"/>
  <c r="J553" i="14"/>
  <c r="J554" i="14"/>
  <c r="J555" i="14"/>
  <c r="J556" i="14"/>
  <c r="J557" i="14"/>
  <c r="J558" i="14"/>
  <c r="J559" i="14"/>
  <c r="J560" i="14"/>
  <c r="J561" i="14"/>
  <c r="J562" i="14"/>
  <c r="J563" i="14"/>
  <c r="J564" i="14"/>
  <c r="J565" i="14"/>
  <c r="J566" i="14"/>
  <c r="J567" i="14"/>
  <c r="J525" i="14"/>
  <c r="J513" i="14" l="1"/>
  <c r="J523" i="14" l="1"/>
  <c r="J509" i="14"/>
  <c r="J511" i="14"/>
  <c r="J512" i="14"/>
  <c r="J524" i="14"/>
  <c r="J521" i="14"/>
  <c r="J510" i="14" l="1"/>
  <c r="J520" i="14" l="1"/>
  <c r="J519" i="14"/>
  <c r="J518" i="14"/>
  <c r="J522" i="14"/>
  <c r="J517" i="14"/>
  <c r="J516" i="14"/>
  <c r="J515" i="14"/>
  <c r="J514" i="14"/>
  <c r="J508" i="14"/>
  <c r="J507" i="14"/>
  <c r="J506" i="14"/>
  <c r="J500" i="14"/>
  <c r="J491" i="14"/>
  <c r="J492" i="14"/>
  <c r="J493" i="14"/>
  <c r="J494" i="14"/>
  <c r="J495" i="14"/>
  <c r="J496" i="14"/>
  <c r="J497" i="14"/>
  <c r="J498" i="14"/>
  <c r="J499" i="14"/>
  <c r="I294" i="14"/>
  <c r="H294" i="14"/>
  <c r="J477" i="14"/>
  <c r="J478" i="14"/>
  <c r="J479" i="14"/>
  <c r="J480" i="14"/>
  <c r="J481" i="14"/>
  <c r="J482" i="14"/>
  <c r="J483" i="14"/>
  <c r="J484" i="14"/>
  <c r="J485" i="14"/>
  <c r="J486" i="14"/>
  <c r="J487" i="14"/>
  <c r="J488" i="14"/>
  <c r="J489" i="14"/>
  <c r="J490" i="14"/>
  <c r="J465" i="14"/>
  <c r="J466" i="14"/>
  <c r="J467" i="14"/>
  <c r="J468" i="14"/>
  <c r="J469" i="14"/>
  <c r="J470" i="14"/>
  <c r="J471" i="14"/>
  <c r="J472" i="14"/>
  <c r="J473" i="14"/>
  <c r="J474" i="14"/>
  <c r="J475" i="14"/>
  <c r="J476" i="14"/>
  <c r="J502" i="14"/>
  <c r="J503" i="14"/>
  <c r="J504" i="14"/>
  <c r="J505" i="14"/>
  <c r="J501" i="14"/>
  <c r="J464" i="14"/>
  <c r="J463" i="14"/>
  <c r="J462" i="14"/>
  <c r="J461" i="14"/>
  <c r="J460" i="14"/>
  <c r="J459" i="14"/>
  <c r="J458" i="14"/>
  <c r="J457" i="14"/>
  <c r="J456" i="14"/>
  <c r="J455" i="14"/>
  <c r="J454" i="14"/>
  <c r="J453" i="14"/>
  <c r="J452" i="14"/>
  <c r="J451" i="14"/>
  <c r="J450" i="14"/>
  <c r="J449" i="14"/>
  <c r="J448" i="14"/>
  <c r="J447" i="14"/>
  <c r="J446" i="14"/>
  <c r="J445" i="14"/>
  <c r="J444" i="14"/>
  <c r="J443" i="14"/>
  <c r="J442" i="14"/>
  <c r="J441" i="14"/>
  <c r="J440" i="14"/>
  <c r="J439" i="14"/>
  <c r="J438" i="14"/>
  <c r="J436" i="14" l="1"/>
  <c r="J435" i="14"/>
  <c r="J294" i="14" l="1"/>
  <c r="J432" i="14"/>
  <c r="J431" i="14"/>
  <c r="J426" i="14"/>
  <c r="J427" i="14"/>
  <c r="J428" i="14"/>
  <c r="J429" i="14"/>
  <c r="J430" i="14"/>
  <c r="J425" i="14"/>
  <c r="J424" i="14"/>
  <c r="J421" i="14"/>
  <c r="J422" i="14"/>
  <c r="J423" i="14"/>
  <c r="J437" i="14"/>
  <c r="J417" i="14"/>
  <c r="J418" i="14"/>
  <c r="J419" i="14"/>
  <c r="J420" i="14"/>
  <c r="J406" i="14"/>
  <c r="J405" i="14"/>
  <c r="J407" i="14"/>
  <c r="J412" i="14"/>
  <c r="J413" i="14"/>
  <c r="J414" i="14"/>
  <c r="J415" i="14"/>
  <c r="J416" i="14"/>
  <c r="J409" i="14"/>
  <c r="J411" i="14"/>
  <c r="J408" i="14"/>
  <c r="J410" i="14"/>
  <c r="J402" i="14"/>
  <c r="J403" i="14"/>
  <c r="J404" i="14"/>
  <c r="J400" i="14"/>
  <c r="J401" i="14"/>
  <c r="J399" i="14"/>
  <c r="J398" i="14"/>
  <c r="J392" i="14"/>
  <c r="J393" i="14"/>
  <c r="J394" i="14"/>
  <c r="J395" i="14"/>
  <c r="J396" i="14"/>
  <c r="J397" i="14"/>
  <c r="J388" i="14"/>
  <c r="J377" i="14"/>
  <c r="J378" i="14"/>
  <c r="J379" i="14"/>
  <c r="J389" i="14"/>
  <c r="J380" i="14"/>
  <c r="J381" i="14"/>
  <c r="J382" i="14"/>
  <c r="J383" i="14"/>
  <c r="J384" i="14"/>
  <c r="J385" i="14"/>
  <c r="J386" i="14"/>
  <c r="J387" i="14"/>
  <c r="J390" i="14"/>
  <c r="J391" i="14"/>
  <c r="J375" i="14"/>
  <c r="J376" i="14"/>
  <c r="J373" i="14"/>
  <c r="J374" i="14"/>
  <c r="J365" i="14"/>
  <c r="J366" i="14"/>
  <c r="J367" i="14"/>
  <c r="J368" i="14"/>
  <c r="J369" i="14"/>
  <c r="J370" i="14"/>
  <c r="J371" i="14"/>
  <c r="J372" i="14"/>
  <c r="J364" i="14"/>
  <c r="J363" i="14"/>
  <c r="J362" i="14"/>
  <c r="J433" i="14"/>
  <c r="J434" i="14"/>
  <c r="L2" i="15"/>
  <c r="I359" i="14"/>
  <c r="E51" i="16" l="1"/>
  <c r="D51" i="16"/>
  <c r="D53" i="16" s="1"/>
  <c r="E27" i="16"/>
  <c r="I4" i="15"/>
  <c r="I2" i="15"/>
  <c r="J16" i="15" s="1"/>
  <c r="F32" i="15"/>
  <c r="C32" i="15"/>
  <c r="J343" i="14"/>
  <c r="J344" i="14"/>
  <c r="J345" i="14"/>
  <c r="J346" i="14"/>
  <c r="J347" i="14"/>
  <c r="J348" i="14"/>
  <c r="J349" i="14"/>
  <c r="J350" i="14"/>
  <c r="J351" i="14"/>
  <c r="J342" i="14"/>
  <c r="J337" i="14"/>
  <c r="J338" i="14"/>
  <c r="J339" i="14"/>
  <c r="J340" i="14"/>
  <c r="J341" i="14"/>
  <c r="J336" i="14"/>
  <c r="J23" i="15" l="1"/>
  <c r="J15" i="15"/>
  <c r="D24" i="15"/>
  <c r="E27" i="15"/>
  <c r="D16" i="15"/>
  <c r="D23" i="15"/>
  <c r="D17" i="15"/>
  <c r="E19" i="15"/>
  <c r="J13" i="15"/>
  <c r="J29" i="15"/>
  <c r="D22" i="15"/>
  <c r="E24" i="15"/>
  <c r="J20" i="15"/>
  <c r="D29" i="15"/>
  <c r="D21" i="15"/>
  <c r="E13" i="15"/>
  <c r="E23" i="15"/>
  <c r="E15" i="15"/>
  <c r="J27" i="15"/>
  <c r="J19" i="15"/>
  <c r="E18" i="15"/>
  <c r="D15" i="15"/>
  <c r="E25" i="15"/>
  <c r="J21" i="15"/>
  <c r="E16" i="15"/>
  <c r="J28" i="15"/>
  <c r="D28" i="15"/>
  <c r="D20" i="15"/>
  <c r="E30" i="15"/>
  <c r="E22" i="15"/>
  <c r="J26" i="15"/>
  <c r="J18" i="15"/>
  <c r="E26" i="15"/>
  <c r="J22" i="15"/>
  <c r="E17" i="15"/>
  <c r="D27" i="15"/>
  <c r="D19" i="15"/>
  <c r="E29" i="15"/>
  <c r="E21" i="15"/>
  <c r="J25" i="15"/>
  <c r="D26" i="15"/>
  <c r="D18" i="15"/>
  <c r="E28" i="15"/>
  <c r="E20" i="15"/>
  <c r="J24" i="15"/>
  <c r="H357" i="14"/>
  <c r="J357" i="14" s="1"/>
  <c r="J358" i="14"/>
  <c r="J359" i="14"/>
  <c r="J352" i="14"/>
  <c r="J360" i="14"/>
  <c r="J361" i="14"/>
  <c r="J354" i="14"/>
  <c r="J355" i="14"/>
  <c r="J356" i="14"/>
  <c r="J353" i="14"/>
  <c r="J333" i="14"/>
  <c r="J334" i="14"/>
  <c r="J335" i="14"/>
  <c r="J332" i="14"/>
  <c r="J331" i="14"/>
  <c r="I330" i="14"/>
  <c r="J330" i="14" s="1"/>
  <c r="I329" i="14"/>
  <c r="J329" i="14" s="1"/>
  <c r="J328" i="14"/>
  <c r="H327" i="14"/>
  <c r="J327" i="14" s="1"/>
  <c r="J326" i="14"/>
  <c r="J325" i="14"/>
  <c r="I324" i="14"/>
  <c r="J324" i="14" s="1"/>
  <c r="J323" i="14"/>
  <c r="J322" i="14"/>
  <c r="J321" i="14"/>
  <c r="J320" i="14"/>
  <c r="H319" i="14"/>
  <c r="I319" i="14" s="1"/>
  <c r="J30" i="15" s="1"/>
  <c r="H318" i="14"/>
  <c r="J318" i="14" s="1"/>
  <c r="H317" i="14"/>
  <c r="J317" i="14" s="1"/>
  <c r="J316" i="14"/>
  <c r="J315" i="14"/>
  <c r="J314" i="14"/>
  <c r="J313" i="14"/>
  <c r="J312" i="14"/>
  <c r="J311" i="14"/>
  <c r="I310" i="14"/>
  <c r="J310" i="14" s="1"/>
  <c r="I309" i="14"/>
  <c r="J309" i="14" s="1"/>
  <c r="H307" i="14"/>
  <c r="J307" i="14" s="1"/>
  <c r="J306" i="14"/>
  <c r="J305" i="14"/>
  <c r="J304" i="14"/>
  <c r="J303" i="14"/>
  <c r="G27" i="15" l="1"/>
  <c r="J17" i="15"/>
  <c r="J14" i="15"/>
  <c r="E14" i="15"/>
  <c r="E32" i="15" s="1"/>
  <c r="D30" i="15"/>
  <c r="G30" i="15" s="1"/>
  <c r="D13" i="15"/>
  <c r="D25" i="15"/>
  <c r="G25" i="15" s="1"/>
  <c r="G16" i="15"/>
  <c r="G18" i="15"/>
  <c r="G23" i="15"/>
  <c r="G24" i="15"/>
  <c r="G19" i="15"/>
  <c r="G17" i="15"/>
  <c r="G15" i="15"/>
  <c r="G26" i="15"/>
  <c r="G28" i="15"/>
  <c r="G21" i="15"/>
  <c r="G29" i="15"/>
  <c r="G20" i="15"/>
  <c r="G22" i="15"/>
  <c r="H308" i="14"/>
  <c r="J319" i="14"/>
  <c r="I15" i="15" l="1"/>
  <c r="I17" i="15"/>
  <c r="H19" i="15"/>
  <c r="H24" i="15"/>
  <c r="I23" i="15"/>
  <c r="I18" i="15"/>
  <c r="I16" i="15"/>
  <c r="I25" i="15"/>
  <c r="H27" i="15"/>
  <c r="I27" i="15"/>
  <c r="J32" i="15"/>
  <c r="E36" i="16" s="1"/>
  <c r="H16" i="15"/>
  <c r="G13" i="15"/>
  <c r="J308" i="14"/>
  <c r="E40" i="16" s="1"/>
  <c r="D14" i="15"/>
  <c r="G14" i="15" s="1"/>
  <c r="H25" i="15"/>
  <c r="H18" i="15"/>
  <c r="H23" i="15"/>
  <c r="I24" i="15"/>
  <c r="H17" i="15"/>
  <c r="I19" i="15"/>
  <c r="H15" i="15"/>
  <c r="I30" i="15"/>
  <c r="H30" i="15"/>
  <c r="I29" i="15"/>
  <c r="H29" i="15"/>
  <c r="I28" i="15"/>
  <c r="H28" i="15"/>
  <c r="I21" i="15"/>
  <c r="H21" i="15"/>
  <c r="H20" i="15"/>
  <c r="I20" i="15"/>
  <c r="I22" i="15"/>
  <c r="H22" i="15"/>
  <c r="I26" i="15"/>
  <c r="H26" i="15"/>
  <c r="H13" i="15" l="1"/>
  <c r="H14" i="15"/>
  <c r="I13" i="15"/>
  <c r="I14" i="15"/>
  <c r="G32" i="15"/>
  <c r="D32" i="15"/>
  <c r="H32" i="15" l="1"/>
  <c r="I32" i="15"/>
  <c r="E28" i="16"/>
  <c r="E37" i="16" s="1"/>
  <c r="E41" i="16" s="1"/>
  <c r="E42" i="1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tc={2A428B97-21B7-49AD-A089-A657C51FE98D}</author>
    <author>tc={8DBA193F-565F-46D9-8A73-FC3FB5D4D16A}</author>
    <author>tc={91C8ECCD-C3DD-4557-A6C9-C60EA441F55A}</author>
    <author>tc={DCB90611-32DE-41FF-AF40-26D0482C457E}</author>
    <author>tc={28817ABC-35B5-4E59-B2DA-E7DD4E05C61F}</author>
  </authors>
  <commentList>
    <comment ref="J1109" authorId="0" shapeId="0" xr:uid="{2A428B97-21B7-49AD-A089-A657C51FE98D}">
      <text>
        <t>[Threaded comment]
Your version of Excel allows you to read this threaded comment; however, any edits to it will get removed if the file is opened in a newer version of Excel. Learn more: https://go.microsoft.com/fwlink/?linkid=870924
Comment:
    Pay App needs to be revised upward by $500 before Docusign. Actual Retainage Amount for Past Draw is $34,335 instead of $33,835.</t>
      </text>
    </comment>
    <comment ref="J1169" authorId="1" shapeId="0" xr:uid="{8DBA193F-565F-46D9-8A73-FC3FB5D4D16A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to get Pay App from the Sub-Contractor</t>
      </text>
    </comment>
    <comment ref="J1176" authorId="2" shapeId="0" xr:uid="{91C8ECCD-C3DD-4557-A6C9-C60EA441F55A}">
      <text>
        <t>[Threaded comment]
Your version of Excel allows you to read this threaded comment; however, any edits to it will get removed if the file is opened in a newer version of Excel. Learn more: https://go.microsoft.com/fwlink/?linkid=870924
Comment:
    Pay App needs to be revised upward by $500 before Docusign. Actual Retainage Amount for Past Draw is $34,335 instead of $33,835.</t>
      </text>
    </comment>
    <comment ref="J1178" authorId="3" shapeId="0" xr:uid="{DCB90611-32DE-41FF-AF40-26D0482C457E}">
      <text>
        <t>[Threaded comment]
Your version of Excel allows you to read this threaded comment; however, any edits to it will get removed if the file is opened in a newer version of Excel. Learn more: https://go.microsoft.com/fwlink/?linkid=870924
Comment:
    Pay App needs to be revised upward by $500 before Docusign. Actual Retainage Amount for Past Draw is $34,335 instead of $33,835.</t>
      </text>
    </comment>
    <comment ref="J1179" authorId="4" shapeId="0" xr:uid="{28817ABC-35B5-4E59-B2DA-E7DD4E05C61F}">
      <text>
        <t>[Threaded comment]
Your version of Excel allows you to read this threaded comment; however, any edits to it will get removed if the file is opened in a newer version of Excel. Learn more: https://go.microsoft.com/fwlink/?linkid=870924
Comment:
    Pay App needs to be revised upward by $3,000 before Docusign. Actual Gross Amount for Past Draw is $80,848 instead of $70,848.</t>
      </text>
    </comment>
  </commentList>
</comments>
</file>

<file path=xl/sharedStrings.xml><?xml version="1.0" encoding="utf-8"?>
<sst xmlns="http://schemas.openxmlformats.org/spreadsheetml/2006/main" count="3904" uniqueCount="1239">
  <si>
    <t>Total</t>
  </si>
  <si>
    <t>Retainage</t>
  </si>
  <si>
    <t>AIM Construction Services</t>
  </si>
  <si>
    <t xml:space="preserve"> </t>
  </si>
  <si>
    <t>Insurance</t>
  </si>
  <si>
    <t>Norton Metals</t>
  </si>
  <si>
    <t>Contractor's Fee</t>
  </si>
  <si>
    <t>APPLICATION AND CERTIFICATION FOR PAYMENT</t>
  </si>
  <si>
    <t>AIA DOCUMENT G702</t>
  </si>
  <si>
    <t>PROJECT:</t>
  </si>
  <si>
    <t>APPLICATION NO:</t>
  </si>
  <si>
    <t>Distribution to:</t>
  </si>
  <si>
    <t>OWNER</t>
  </si>
  <si>
    <t>ARCHITECT</t>
  </si>
  <si>
    <t>PERIOD TO:</t>
  </si>
  <si>
    <t>X</t>
  </si>
  <si>
    <t>CONTRACTOR</t>
  </si>
  <si>
    <t>VIA ARCHITECT:</t>
  </si>
  <si>
    <t xml:space="preserve">CONTRACT FOR:   </t>
  </si>
  <si>
    <t>CONTRACT DATE:</t>
  </si>
  <si>
    <t>CONTRACTOR'S APPLICATION FOR PAYMENT</t>
  </si>
  <si>
    <t xml:space="preserve">The undersigned Contractor certifies that to the best of the Contractor's knowledge, </t>
  </si>
  <si>
    <t>Application is made for payment, as shown below, in connection with the Contract.</t>
  </si>
  <si>
    <t>information and belief the Work covered by this Application for Payment has been</t>
  </si>
  <si>
    <t>Continuation Sheet, AIA Document G703, is attached.</t>
  </si>
  <si>
    <t xml:space="preserve">completed in accordance with the Contract Documents, that all amounts have been paid by </t>
  </si>
  <si>
    <t xml:space="preserve">the Contractor for Work for which previous Certificates for Payment were issued and </t>
  </si>
  <si>
    <t>payments received from the Owner, and that current payment shown herein is now due.</t>
  </si>
  <si>
    <t xml:space="preserve">1.  ORIGINAL CONTRACT SUM </t>
  </si>
  <si>
    <t xml:space="preserve">2.  Net change by Change Orders </t>
  </si>
  <si>
    <t>$</t>
  </si>
  <si>
    <t>4.  TOTAL COMPLETED &amp; STORED TO</t>
  </si>
  <si>
    <t xml:space="preserve">         DATE       (Column G on G703)</t>
  </si>
  <si>
    <t>By:</t>
  </si>
  <si>
    <t xml:space="preserve"> Date:</t>
  </si>
  <si>
    <t>5.  RETAINAGE:</t>
  </si>
  <si>
    <t>a.</t>
  </si>
  <si>
    <t>% of Completed Work                 $</t>
  </si>
  <si>
    <t>State of:</t>
  </si>
  <si>
    <t>County of:</t>
  </si>
  <si>
    <t>(Column D + E on G703)</t>
  </si>
  <si>
    <t>Subscribed and sworn to before me this</t>
  </si>
  <si>
    <t xml:space="preserve">          day of</t>
  </si>
  <si>
    <t>b.</t>
  </si>
  <si>
    <t>% of Stored Material                   $</t>
  </si>
  <si>
    <t>Notary Public:</t>
  </si>
  <si>
    <t>(Column F on G703)</t>
  </si>
  <si>
    <t>My Commission expires:</t>
  </si>
  <si>
    <t xml:space="preserve">           Total Retainage (Lines 5a + 5b or</t>
  </si>
  <si>
    <t xml:space="preserve">Total in Column I of G703) </t>
  </si>
  <si>
    <t>ARCHITECT'S CERTIFICATE FOR PAYMENT</t>
  </si>
  <si>
    <t xml:space="preserve">6.  TOTAL EARNED LESS RETAINAGE </t>
  </si>
  <si>
    <t>In accordance with the Contract Documents, based on on-site observations and the data</t>
  </si>
  <si>
    <t>(Line 4 Less Line 5 Total)</t>
  </si>
  <si>
    <t>comprising the application, the Architect certifies to the Owner that to the best of  the</t>
  </si>
  <si>
    <t>7.  LESS PREVIOUS CERTIFICATES FOR</t>
  </si>
  <si>
    <t xml:space="preserve"> Architect's knowledge, information and belief the Work has progressed as indicated,</t>
  </si>
  <si>
    <t xml:space="preserve">     PAYMENT (Line 6 from prior Certificate) </t>
  </si>
  <si>
    <t>the quality of the Work is in accordance with the Contract Documents, and the Contractor</t>
  </si>
  <si>
    <t xml:space="preserve">8.  CURRENT PAYMENT DUE </t>
  </si>
  <si>
    <t>is entitled to payment of the AMOUNT CERTIFIED.</t>
  </si>
  <si>
    <t>9.  BALANCE TO FINISH, INCLUDING RETAINAGE                            $</t>
  </si>
  <si>
    <t>(Line 3 less Line 6)</t>
  </si>
  <si>
    <t>AMOUNT CERTIFIED . . . . . . . . . . . $</t>
  </si>
  <si>
    <t>CHANGE ORDER SUMMARY</t>
  </si>
  <si>
    <t>ADDITIONS</t>
  </si>
  <si>
    <t>DEDUCTIONS</t>
  </si>
  <si>
    <t>(Attach explanation if amount certified differs from the amount applied. Initial all figures on this</t>
  </si>
  <si>
    <t xml:space="preserve">     Total changes approved</t>
  </si>
  <si>
    <t>Application and onthe Continuation Sheet that are changed to conform with the amount certified.)</t>
  </si>
  <si>
    <t xml:space="preserve">     in previous months by Owner</t>
  </si>
  <si>
    <t>ARCHITECT:</t>
  </si>
  <si>
    <t xml:space="preserve">     Total approved this Month</t>
  </si>
  <si>
    <t xml:space="preserve">     TOTALS</t>
  </si>
  <si>
    <t xml:space="preserve">This Certificate is not negotiable.  The AMOUNT CERTIFIED is payable only to the </t>
  </si>
  <si>
    <t xml:space="preserve">Contractor named herein. Issuance, payment and acceptance of payment are without </t>
  </si>
  <si>
    <t xml:space="preserve">     NET CHANGES by Change Order</t>
  </si>
  <si>
    <t>prejudice to any rights of the Owner or Contractor under this Contract.</t>
  </si>
  <si>
    <t>AIA DOCUMENT G702 · APPLICATION AND CERTIFICATION FOR PAYMENT · 1992 EDITION · AIA® · © 1992</t>
  </si>
  <si>
    <t>THE AMERICAN INSTITUTE OF ARCHITECTS, 1735 NEW YORK AVE., N.W., WASHINGTON, DC 20006-5292</t>
  </si>
  <si>
    <t>Users may obtain validation of this document by requesting a completed AIA Document D401 - Certification of Document's Authenticity from the Licensee.</t>
  </si>
  <si>
    <t>CONTINUATION SHEET</t>
  </si>
  <si>
    <t>AIA DOCUMENT G703</t>
  </si>
  <si>
    <t>AIA Document G702, APPLICATION AND CERTIFICATION FOR PAYMENT, containing</t>
  </si>
  <si>
    <t>Contractor's signed certification is attached.</t>
  </si>
  <si>
    <t>APPLICATION DATE:</t>
  </si>
  <si>
    <t>In tabulations below, amounts are stated to the nearest dollar.</t>
  </si>
  <si>
    <t>Use Column I on Contracts where variable retainage for line items may apply.</t>
  </si>
  <si>
    <t>PROJECT NO:</t>
  </si>
  <si>
    <t>A</t>
  </si>
  <si>
    <t>B</t>
  </si>
  <si>
    <t>C</t>
  </si>
  <si>
    <t>D</t>
  </si>
  <si>
    <t>E</t>
  </si>
  <si>
    <t>F</t>
  </si>
  <si>
    <t>G</t>
  </si>
  <si>
    <t>H</t>
  </si>
  <si>
    <t>I</t>
  </si>
  <si>
    <t>ITEM</t>
  </si>
  <si>
    <t>DESCRIPTION OF WORK</t>
  </si>
  <si>
    <t>SCHEDULED</t>
  </si>
  <si>
    <t>WORK COMPLETED</t>
  </si>
  <si>
    <t>MATERIALS</t>
  </si>
  <si>
    <t>TOTAL</t>
  </si>
  <si>
    <t>%</t>
  </si>
  <si>
    <t>BALANCE</t>
  </si>
  <si>
    <t>RETAINAGE</t>
  </si>
  <si>
    <t>NO.</t>
  </si>
  <si>
    <t>VALUE</t>
  </si>
  <si>
    <t>FROM PREVIOUS</t>
  </si>
  <si>
    <t>THIS PERIOD</t>
  </si>
  <si>
    <t>PRESENTLY</t>
  </si>
  <si>
    <t>COMPLETED</t>
  </si>
  <si>
    <t>(G ÷ C)</t>
  </si>
  <si>
    <t>(IF VARIABLE</t>
  </si>
  <si>
    <t>APPLICATION</t>
  </si>
  <si>
    <t>STORED</t>
  </si>
  <si>
    <t>AND STORED</t>
  </si>
  <si>
    <t>(C - G)</t>
  </si>
  <si>
    <t>RATE)</t>
  </si>
  <si>
    <t>(D + E)</t>
  </si>
  <si>
    <t>(NOT IN</t>
  </si>
  <si>
    <t>TO DATE</t>
  </si>
  <si>
    <t>D OR E)</t>
  </si>
  <si>
    <t>(D+E+F)</t>
  </si>
  <si>
    <t>Users may obtain validation of this document by requesting of the license a completed AIA Document D401 - Certification of Document's Authenticity</t>
  </si>
  <si>
    <t>Divine Force JD RI Waxahachie, LLC</t>
  </si>
  <si>
    <t>Prevail Waxahachie, LLC</t>
  </si>
  <si>
    <t>Maust Architectural Services</t>
  </si>
  <si>
    <t>GRAND TOTAL</t>
  </si>
  <si>
    <t>GENERAL CONDITIONS</t>
  </si>
  <si>
    <t>SITEWORK</t>
  </si>
  <si>
    <t>CONCRETE</t>
  </si>
  <si>
    <t>MASONRY</t>
  </si>
  <si>
    <t>METALS</t>
  </si>
  <si>
    <t>WOOD, PLASTICS AND COMPOSITES</t>
  </si>
  <si>
    <t>THERMAL AND MOISTURE PROTECTION</t>
  </si>
  <si>
    <t>OPENINGS</t>
  </si>
  <si>
    <t>FINISHES</t>
  </si>
  <si>
    <t>SPECIALTIES AND EQUIPMENT</t>
  </si>
  <si>
    <t>FURNISHINGS</t>
  </si>
  <si>
    <t>SWIMMING POOL</t>
  </si>
  <si>
    <t>CONVEYING EQUIPMENT</t>
  </si>
  <si>
    <t>FIRE SUPPRESSION</t>
  </si>
  <si>
    <t>PLUMBING/HVAC</t>
  </si>
  <si>
    <t>ELECTRICAL</t>
  </si>
  <si>
    <t>GENERAL LIABILITY</t>
  </si>
  <si>
    <t>CONTRACTOR'S FEE</t>
  </si>
  <si>
    <t>TO FINISH</t>
  </si>
  <si>
    <t>3.  CONTRACT SUM TO DATE (Line 1 ± 2)</t>
  </si>
  <si>
    <t>Boulder Construction</t>
  </si>
  <si>
    <t>Commentary</t>
  </si>
  <si>
    <t>Net Amount</t>
  </si>
  <si>
    <t>Ferguson Waterworks</t>
  </si>
  <si>
    <t>Go Construction</t>
  </si>
  <si>
    <t>Mobilization</t>
  </si>
  <si>
    <t>G703 #</t>
  </si>
  <si>
    <t>Divine Force I, LLC</t>
  </si>
  <si>
    <t>Farmers Branch, TX 75234</t>
  </si>
  <si>
    <t>2775 Villa Creek Dr, Suite B-240</t>
  </si>
  <si>
    <t>(561) 889-4988</t>
  </si>
  <si>
    <t>admin@boulderconstruction.com</t>
  </si>
  <si>
    <t>Invoice #</t>
  </si>
  <si>
    <t>Date</t>
  </si>
  <si>
    <t>Bill To:</t>
  </si>
  <si>
    <t>Description</t>
  </si>
  <si>
    <t>Amount</t>
  </si>
  <si>
    <t>205 Murphy Drive</t>
  </si>
  <si>
    <t>Southlake, Texas 76092</t>
  </si>
  <si>
    <t>Project Manager</t>
  </si>
  <si>
    <t>Invoice / Payment Voucher</t>
  </si>
  <si>
    <t>For August 2024</t>
  </si>
  <si>
    <t>Job Accounting / Administration</t>
  </si>
  <si>
    <t>Water Meter Payment</t>
  </si>
  <si>
    <t>Blueprint Printing</t>
  </si>
  <si>
    <t>Temporary Toilets</t>
  </si>
  <si>
    <t>Temporary Fencing (Chain Link)</t>
  </si>
  <si>
    <t>Temporary Fencing (Dirt Screening for Sitework)</t>
  </si>
  <si>
    <t>Earthwork - SW3P / Site Clearing</t>
  </si>
  <si>
    <t>Earthwork - Mobilization</t>
  </si>
  <si>
    <t>Utility - Sanitary Sewer &amp; Water Material</t>
  </si>
  <si>
    <t>Sitework - Surveyor</t>
  </si>
  <si>
    <t>Earthwork - Import Dirt Material</t>
  </si>
  <si>
    <t>Superman Trucking and Delivery Inc</t>
  </si>
  <si>
    <t>Earthwork - SW3P</t>
  </si>
  <si>
    <t>Structural Steel Fabrication</t>
  </si>
  <si>
    <t>Order Switch Gear</t>
  </si>
  <si>
    <t>Order Structural Steel Material</t>
  </si>
  <si>
    <t>Order Storm Sewer Material</t>
  </si>
  <si>
    <t>Greens Distributions - Initial Deposit</t>
  </si>
  <si>
    <t>Order Windows</t>
  </si>
  <si>
    <t>Top Bright Windows and Door - Initial Deposit</t>
  </si>
  <si>
    <t>Order Elevator</t>
  </si>
  <si>
    <t>Kone - Initial Deposit</t>
  </si>
  <si>
    <t>Aggregate Total</t>
  </si>
  <si>
    <t>Sitework - Earthwork</t>
  </si>
  <si>
    <t>Sitework - Utilities</t>
  </si>
  <si>
    <t>Sitework - Equipment</t>
  </si>
  <si>
    <t>Raul Sandoval Construction - August 2024 Forecasted Payments</t>
  </si>
  <si>
    <t>Equipment Share - August 2024 Forecasted Cost</t>
  </si>
  <si>
    <t>Earthwork - Import Dirt &amp; Gravel Material</t>
  </si>
  <si>
    <t>Reimbursement for Payment to the City of Waxahachie</t>
  </si>
  <si>
    <t>Reimbursement for Payment to Stewart Engineering</t>
  </si>
  <si>
    <t>Reimbursement for Payment to A-1 Little John</t>
  </si>
  <si>
    <t>Reimbursement for Payment to Viking Fence Co</t>
  </si>
  <si>
    <t>Reimbursement for Payment to Raul Sandoval Construction</t>
  </si>
  <si>
    <t>Reimbursement for Payment to Ferguson Waterworks</t>
  </si>
  <si>
    <t>Reimbursement for Payment to Cardinal Strategies</t>
  </si>
  <si>
    <t>General liability Insurance</t>
  </si>
  <si>
    <t>Equipment Insurance</t>
  </si>
  <si>
    <t>Trucking and Material</t>
  </si>
  <si>
    <t>Print</t>
  </si>
  <si>
    <t>TO OWNER:</t>
  </si>
  <si>
    <t>FROM CONTRACTOR:</t>
  </si>
  <si>
    <t>Waxahachie, Texas</t>
  </si>
  <si>
    <t>Residence Inn</t>
  </si>
  <si>
    <t>CONTRACTOR:</t>
  </si>
  <si>
    <t>Sitework - Forecast</t>
  </si>
  <si>
    <t>Concrete - Forecast</t>
  </si>
  <si>
    <t>Wood, Plastics, and Composites - Forecast</t>
  </si>
  <si>
    <t>Electrical - Forecast</t>
  </si>
  <si>
    <t>For October 2024</t>
  </si>
  <si>
    <t>Reimbursement for September 2024</t>
  </si>
  <si>
    <t>Project Superintendent</t>
  </si>
  <si>
    <t>Reimbursement for August (Partial) and September 2024</t>
  </si>
  <si>
    <t>Contractor's Fee - Forecast</t>
  </si>
  <si>
    <t>Project Manager - Forecast</t>
  </si>
  <si>
    <t>Job Accounting / Administration - Forecast</t>
  </si>
  <si>
    <t>Project Superintendent - Forecast</t>
  </si>
  <si>
    <t>Metals - Forecast</t>
  </si>
  <si>
    <t>Rough-In Completed + Future Work</t>
  </si>
  <si>
    <t>Structural Steel Erection + Materials</t>
  </si>
  <si>
    <t>Partial Paving Completed + Building Pad &amp; Other Paving Forecast</t>
  </si>
  <si>
    <t>Site Utilities + Paving + Remaining Dirt Work</t>
  </si>
  <si>
    <t>Safety</t>
  </si>
  <si>
    <t>Invoice from Cornerstone Safety</t>
  </si>
  <si>
    <t>Viking Fence Co - Additional Payment</t>
  </si>
  <si>
    <t>Stewart Engineering</t>
  </si>
  <si>
    <t>A-1 Little John</t>
  </si>
  <si>
    <t>Testing and Inspection Services - Monitoring</t>
  </si>
  <si>
    <t>Required by Safety Consultant</t>
  </si>
  <si>
    <t>Temporary Toilets - Recurring Payment</t>
  </si>
  <si>
    <t>OpenSpace - Camera</t>
  </si>
  <si>
    <t>OpenSpace - Camera Accessories</t>
  </si>
  <si>
    <t>OpenSpace - Subscription</t>
  </si>
  <si>
    <t>Construction Signage &amp; Safety Equipment</t>
  </si>
  <si>
    <t>Water Station Tent</t>
  </si>
  <si>
    <t>Misc. Jobsite Materials</t>
  </si>
  <si>
    <t>Notary Fees</t>
  </si>
  <si>
    <t>Draw</t>
  </si>
  <si>
    <t>Prior Transactions / Draws</t>
  </si>
  <si>
    <t>Plumbing</t>
  </si>
  <si>
    <t>Underground Rough-In</t>
  </si>
  <si>
    <t>Framing Labor</t>
  </si>
  <si>
    <t>Cornerstone Safety</t>
  </si>
  <si>
    <t>From Willscot</t>
  </si>
  <si>
    <t>Viking Fence Co</t>
  </si>
  <si>
    <t>Jobsite Dumpster</t>
  </si>
  <si>
    <t>From Advantage Waste Disposal</t>
  </si>
  <si>
    <t>Security Cameras</t>
  </si>
  <si>
    <t>Birdseye Surveillance</t>
  </si>
  <si>
    <t>Job Supervisor</t>
  </si>
  <si>
    <t>Millwork Shop Drawings</t>
  </si>
  <si>
    <t>Dreamwood</t>
  </si>
  <si>
    <t>Framing Material</t>
  </si>
  <si>
    <t>Truss Material</t>
  </si>
  <si>
    <t>From Ranger Truss</t>
  </si>
  <si>
    <t>Framing - Equipment</t>
  </si>
  <si>
    <t>EquipmentShare</t>
  </si>
  <si>
    <t>Kone Initial Deposit - Partial True Up</t>
  </si>
  <si>
    <t>Partial True Up of Retainage</t>
  </si>
  <si>
    <t>Plumbing - Misc. Material</t>
  </si>
  <si>
    <t>From Home Depot</t>
  </si>
  <si>
    <t>Electrical - Switch Gear True Up</t>
  </si>
  <si>
    <t>Additional Deposit Amount for Switch Gear</t>
  </si>
  <si>
    <t>Electrical Material</t>
  </si>
  <si>
    <t>Additional Insurance Costs (Less Funds From Prior Draw)</t>
  </si>
  <si>
    <t>Boulder Construction - For November 2024 (True Up Prior - 18 Mo)</t>
  </si>
  <si>
    <t>Per Ownership Requirements</t>
  </si>
  <si>
    <t>Jobsite Storage Container</t>
  </si>
  <si>
    <t>Jobsite Office</t>
  </si>
  <si>
    <t>Per Ownership Requirements - Adjusted Balance (True Up)</t>
  </si>
  <si>
    <t>From Lowe's</t>
  </si>
  <si>
    <t>Sidewalk Closed Signs - Per City Requirements</t>
  </si>
  <si>
    <t>From Lite &amp; Barricade</t>
  </si>
  <si>
    <t>Diesel for Equipment</t>
  </si>
  <si>
    <t>For Draw</t>
  </si>
  <si>
    <t>For November 2024</t>
  </si>
  <si>
    <t>For December 2024</t>
  </si>
  <si>
    <t>Framing First Floor</t>
  </si>
  <si>
    <t>For Reytex Framing Corporation</t>
  </si>
  <si>
    <t>For Reytex Framing Corporation - Adjusted Balance (True Up)</t>
  </si>
  <si>
    <t>Lumber Takeoff</t>
  </si>
  <si>
    <t>Joe Cruz</t>
  </si>
  <si>
    <t>Framing Efforts + Takeoff/Discussion</t>
  </si>
  <si>
    <t>From Cowtown Materials</t>
  </si>
  <si>
    <t>Window Deposit True Up</t>
  </si>
  <si>
    <t>Additional Deposit Amount for Windows (Increased Scope)</t>
  </si>
  <si>
    <t>Elliott Electric - Adjusted Balance (True Up)</t>
  </si>
  <si>
    <t>To Be Paid</t>
  </si>
  <si>
    <t>Paid</t>
  </si>
  <si>
    <t>For January 2025</t>
  </si>
  <si>
    <t>Boulder Construction - For December 2024</t>
  </si>
  <si>
    <t>Boulder Construction - For January 2025</t>
  </si>
  <si>
    <t>Office Depot</t>
  </si>
  <si>
    <t>Jobsite Labor</t>
  </si>
  <si>
    <t>Clean Up</t>
  </si>
  <si>
    <t>Procore Subscription</t>
  </si>
  <si>
    <t>For Jobsite Reporting</t>
  </si>
  <si>
    <t>Concrete - Rock for Pump Truck on Dirt</t>
  </si>
  <si>
    <t>Import Rock</t>
  </si>
  <si>
    <t>Concrete - Labor + Material</t>
  </si>
  <si>
    <t>To M D Bowles Construction - Adjusted Balance (True Up Prior)</t>
  </si>
  <si>
    <t>Concrete - Misc. Material</t>
  </si>
  <si>
    <t>Rebar</t>
  </si>
  <si>
    <t>From Ready Cable</t>
  </si>
  <si>
    <t>Concrete - Light Pole Locations</t>
  </si>
  <si>
    <t>Concrete - Termite Control</t>
  </si>
  <si>
    <t>From Bug Stop Pest Solutions (Reimbursement to MD Bowles Const.)</t>
  </si>
  <si>
    <t>Concrete - Clearing Area for Paving</t>
  </si>
  <si>
    <t>Haul Off Excess Dirt/Rock</t>
  </si>
  <si>
    <t>Framing Material - Marking Material</t>
  </si>
  <si>
    <t>Onity Locks</t>
  </si>
  <si>
    <t>65% Deposit (For Discount)</t>
  </si>
  <si>
    <t>Tub and Shower Surrounds</t>
  </si>
  <si>
    <t>50% Deposit (Pre-Tax &amp; Shipping)</t>
  </si>
  <si>
    <t>Toilet Accessories (Dish, Foot Rest, Ledge, Trim)</t>
  </si>
  <si>
    <t>Fire Alarm/Sprinkler Designs</t>
  </si>
  <si>
    <t>Initial Invoice - 01</t>
  </si>
  <si>
    <t>Plumbing - Top Out Labor</t>
  </si>
  <si>
    <t>MA Williams Plumbing Invoice</t>
  </si>
  <si>
    <t>Elliott Electric</t>
  </si>
  <si>
    <t>Builder's Risk Insurance</t>
  </si>
  <si>
    <t>Liberty Mutual - Remaining Charge Amount from Prior Transaction</t>
  </si>
  <si>
    <t>Liberty Mutual</t>
  </si>
  <si>
    <t>Top Bright Windows and Door - Additional Deposit</t>
  </si>
  <si>
    <t>For February 2025</t>
  </si>
  <si>
    <t>Boulder Construction - For February 2025</t>
  </si>
  <si>
    <t>Roofing Material and Labor</t>
  </si>
  <si>
    <t>First Invoice - LED Roofing</t>
  </si>
  <si>
    <t>HVAC/Mechanical Material and Labor</t>
  </si>
  <si>
    <t>First Invoice - Iceberg Heating &amp; AC</t>
  </si>
  <si>
    <t>Remaining Deposit (Pre-Tax)</t>
  </si>
  <si>
    <t>Allocated Shipping Costs</t>
  </si>
  <si>
    <t>Switch Gear Payment</t>
  </si>
  <si>
    <t>From Greens Distribution</t>
  </si>
  <si>
    <t>Pouring Temporary Approach and Clean Up</t>
  </si>
  <si>
    <t>M D Bowles Construction (Change Order)</t>
  </si>
  <si>
    <t>Plumbing Underground and Top Out Material</t>
  </si>
  <si>
    <t>From Moore Supply</t>
  </si>
  <si>
    <t>Plumbing Top Out Labor</t>
  </si>
  <si>
    <t>From Waste Connections</t>
  </si>
  <si>
    <t>Jobsite Office - Recurring Rental</t>
  </si>
  <si>
    <t>Jobsite Storage Container - Rental + Drop Off</t>
  </si>
  <si>
    <t>Jobsite Storage Container - Recurring Rental</t>
  </si>
  <si>
    <t>From Home Depot - Bags, Fuel and Oil, Spray Paint</t>
  </si>
  <si>
    <t>From Home Depot - Spray Paint &amp; Other for Marriott Walk</t>
  </si>
  <si>
    <t>From Home Depot - Spray Paint for Marriott Walk</t>
  </si>
  <si>
    <t>From Home Depot - Fuel and Oil</t>
  </si>
  <si>
    <t>From Home Depot - Cable Ties</t>
  </si>
  <si>
    <t>From Home Depot - Ice Melt Bag</t>
  </si>
  <si>
    <t>From Home Depot - Gas Can</t>
  </si>
  <si>
    <t>From Home Depot - Combination Lock</t>
  </si>
  <si>
    <t>Clean Up &amp; Other Misc. Tasks</t>
  </si>
  <si>
    <t>Concrete - Surveyor to Stake Out Paving</t>
  </si>
  <si>
    <t>Concrete - Surveyor to Stake Out Multiple Areas</t>
  </si>
  <si>
    <t>Rebar Shop Drawings</t>
  </si>
  <si>
    <t>From Post-Tension Services</t>
  </si>
  <si>
    <t>Framing - Required Fire Hydrants</t>
  </si>
  <si>
    <t>From Texas Fire Extinguisher</t>
  </si>
  <si>
    <t>From Home Depot - Fall Protection</t>
  </si>
  <si>
    <t>From Home Depot - Fall Protection &amp; Anchor</t>
  </si>
  <si>
    <t>From Home Depot - Parawedge Anchor</t>
  </si>
  <si>
    <t>From Home Depot - Return for Parawedge Anchor</t>
  </si>
  <si>
    <t>From Home Depot - Misc. Return</t>
  </si>
  <si>
    <t>From Home Depot - Misc.</t>
  </si>
  <si>
    <t>From Home Depot - Washers and Screws</t>
  </si>
  <si>
    <t>From Home Depot - Hurricane Ties</t>
  </si>
  <si>
    <t>From Home Depot - Zip System Tape</t>
  </si>
  <si>
    <t>From Home Depot - Hex Nut</t>
  </si>
  <si>
    <t>From Home Depot - Het Nut and Washer</t>
  </si>
  <si>
    <t>From Office Depot - Truss Layout Pages</t>
  </si>
  <si>
    <t>From Home Depot - Hex Nut and Dimensional Lumber</t>
  </si>
  <si>
    <t>From Home Depot - Sheathing and Strand Board</t>
  </si>
  <si>
    <t>From Home Depot - OSB Subfloor</t>
  </si>
  <si>
    <t>From Home Depot - Simpson Strong-Ties</t>
  </si>
  <si>
    <t>From Home Depot - LVL</t>
  </si>
  <si>
    <t>From Home Depot - Standard and Treated Lumber</t>
  </si>
  <si>
    <t>From Home Depot - Washer/Nuts, Strong Ties, Flashing Tape</t>
  </si>
  <si>
    <t>From Home Depot - Anchor Bolts and Epoxy</t>
  </si>
  <si>
    <t>From Home Depot - Sheathing and Dimensional Lumber</t>
  </si>
  <si>
    <t>For Reytex Framing Corporation - Invoice 14</t>
  </si>
  <si>
    <t>For Reytex Framing Corporation - Revised Invoice 15</t>
  </si>
  <si>
    <t>For Reytex Framing Corporation - Revised Invoice 17</t>
  </si>
  <si>
    <t>For Reytex Framing Corporation - Invoice 18</t>
  </si>
  <si>
    <t>For Reytex Framing Corporation - Invoice 19 (Partial Payment)</t>
  </si>
  <si>
    <t>Corridor Insulation Inspection</t>
  </si>
  <si>
    <t>From Geoscience Engineers</t>
  </si>
  <si>
    <t>Deposit for Doors</t>
  </si>
  <si>
    <t>For Ongoing Windows &amp; Doors</t>
  </si>
  <si>
    <t>Additional Invoice Amount</t>
  </si>
  <si>
    <t>Sample VTAC</t>
  </si>
  <si>
    <t>From Greens Electric - For Mock Up Room</t>
  </si>
  <si>
    <t>Prerock / Insulation for Top of Corridor</t>
  </si>
  <si>
    <t>RFM Ventures - First Invoice</t>
  </si>
  <si>
    <t>For March 2025</t>
  </si>
  <si>
    <t>Boulder Construction - For March 2025</t>
  </si>
  <si>
    <t>VTAC Sleeves</t>
  </si>
  <si>
    <t>From Greens Electric</t>
  </si>
  <si>
    <t>VTAC Costs - 50% Deposit</t>
  </si>
  <si>
    <t>As Built Drawings</t>
  </si>
  <si>
    <t>From A U Design (For Confirmation of Slab/Other Dimensions)</t>
  </si>
  <si>
    <t>Additional Deposit for Doors</t>
  </si>
  <si>
    <t>Concrete - Additional Paving Section</t>
  </si>
  <si>
    <t>From M D Bowles Construction</t>
  </si>
  <si>
    <t>Concrete - Select Fill Material to Grade Paving</t>
  </si>
  <si>
    <t>Concrete - Future Forecast Payments</t>
  </si>
  <si>
    <t>Fire Standpipe</t>
  </si>
  <si>
    <t>From Safe Life FP</t>
  </si>
  <si>
    <t>Fire Alarm Rough</t>
  </si>
  <si>
    <t>Equipment Rental + Purchase of Safety Platforms</t>
  </si>
  <si>
    <t>Meal for Jobsite Crew</t>
  </si>
  <si>
    <t>From Dominos</t>
  </si>
  <si>
    <t>Generators for Jobsite Office + Building</t>
  </si>
  <si>
    <t>From Harbor Freight Tools</t>
  </si>
  <si>
    <t>From Home Depot - Hand Truck (Dolley)</t>
  </si>
  <si>
    <t>From Home Depot - Coil Chain, Deck Screws, and Padlock</t>
  </si>
  <si>
    <t>From Home Depot - Deck Screws and Padlock/Combination Locks</t>
  </si>
  <si>
    <t>Permit and New Construction Display Board</t>
  </si>
  <si>
    <t>From Minuteman Press</t>
  </si>
  <si>
    <t>Water Meter Usage</t>
  </si>
  <si>
    <t>City of Waxahachie</t>
  </si>
  <si>
    <t>Import Washed Rock</t>
  </si>
  <si>
    <t>Traffic Control Plan</t>
  </si>
  <si>
    <t>For Utility Tie-In</t>
  </si>
  <si>
    <t>Utilities - Misc. Material</t>
  </si>
  <si>
    <t>From Home Depot - Hose and Pump for Drainage</t>
  </si>
  <si>
    <t>Earthwork - Misc. Material</t>
  </si>
  <si>
    <t>From Home Depot - Zip Ties</t>
  </si>
  <si>
    <t>From Home Depot - Zip Ties and Silt Fence</t>
  </si>
  <si>
    <t>Earthwork - Testing</t>
  </si>
  <si>
    <t>Geoscience Engineers</t>
  </si>
  <si>
    <t>Utilities - Additional Material</t>
  </si>
  <si>
    <t>From Moore Supply - Allocated Payment (Excl. Plumbing Allocation)</t>
  </si>
  <si>
    <t>City of Waxahachie - Adjusted Balance (True Up)</t>
  </si>
  <si>
    <t>Cardinal Strategies</t>
  </si>
  <si>
    <t>Material for Utility Tie In on Rae Blvd</t>
  </si>
  <si>
    <t>From Britton Meter Supply</t>
  </si>
  <si>
    <t>Trench Safety Boxes for Utility Tie In</t>
  </si>
  <si>
    <t>From National Trench Safety</t>
  </si>
  <si>
    <t>Traffic Control Material for the Utility Tie In</t>
  </si>
  <si>
    <t>From Buyers Barricades</t>
  </si>
  <si>
    <t>Dirt Import to Backfill Curbs</t>
  </si>
  <si>
    <t>From Alliance Trucking</t>
  </si>
  <si>
    <t>Pouring and Forming Inlet Lids for Utilities</t>
  </si>
  <si>
    <t>From Americo Concrete</t>
  </si>
  <si>
    <t>CMU Block Material</t>
  </si>
  <si>
    <t>From Home Depot - Concrete Block</t>
  </si>
  <si>
    <t>From Home Depot - Common Nails and Sheathing</t>
  </si>
  <si>
    <t>From Home Depot - Sheathing, Panel, and Step Stone</t>
  </si>
  <si>
    <t>From Home Depot - Window Sealant and Cutting Saws</t>
  </si>
  <si>
    <t>From Home Depot - Zip Tape</t>
  </si>
  <si>
    <t>From Home Depot - Joist Hanger</t>
  </si>
  <si>
    <t>From Home Depot - Strong Ties, Hex Nuts, and Washers</t>
  </si>
  <si>
    <t>From Home Depot - Dimensional Lumber</t>
  </si>
  <si>
    <t>For Reytex Framing Corporation - Invoice 20</t>
  </si>
  <si>
    <t>For Reytex Framing Corporation - Invoice 21/22</t>
  </si>
  <si>
    <t>For Reytex Framing Corporation - Invoice 23</t>
  </si>
  <si>
    <t>Stucco Material</t>
  </si>
  <si>
    <t>From Imperial Wallboard Supply - HFP, Basecoat, Washers</t>
  </si>
  <si>
    <t>From Home Depot - Paint for Model Room</t>
  </si>
  <si>
    <t>Plumbing - Remaining Top Out Invoice</t>
  </si>
  <si>
    <t>From MA Williams Plumbing</t>
  </si>
  <si>
    <t>Switch Gear</t>
  </si>
  <si>
    <t>Greens Distribution - Additional Payment</t>
  </si>
  <si>
    <t>Second Invoice - Iceberg Heating &amp; AC</t>
  </si>
  <si>
    <t>Second Invoice - True Up for Funds Received From Prior Draw</t>
  </si>
  <si>
    <t>For VG Stucco</t>
  </si>
  <si>
    <t>Dumpster Block Install</t>
  </si>
  <si>
    <t>Stucco Labor Rough</t>
  </si>
  <si>
    <t>EFIS/Stone - Equipment</t>
  </si>
  <si>
    <t>Equipment Rentals (For Utility)</t>
  </si>
  <si>
    <t>Equipment Rentals (For General)</t>
  </si>
  <si>
    <t>For April 2025</t>
  </si>
  <si>
    <t>Boulder Construction - For April 2025</t>
  </si>
  <si>
    <t>From Home Depot - Gloves, Glass Cleaner, Shop Vac, Cloth, Broom</t>
  </si>
  <si>
    <t>From Home Depot - Gas String Trimmer and Fuel</t>
  </si>
  <si>
    <t>From Home Depot - Return</t>
  </si>
  <si>
    <t>Misc. Jobsite Materials - Model Room</t>
  </si>
  <si>
    <t>From Home Depot - Wire Shelving and Closet Shelf</t>
  </si>
  <si>
    <t>Petty Cash</t>
  </si>
  <si>
    <t>Reimbursement for Expenses/Petty Cash to Job Supervisor</t>
  </si>
  <si>
    <t>For May 2025</t>
  </si>
  <si>
    <t>Boulder Construction - For May 2025</t>
  </si>
  <si>
    <t>Import Limestone and Cushion Sand Material</t>
  </si>
  <si>
    <t>EquipmentShare - Allocated to General (Due to Budget)</t>
  </si>
  <si>
    <t>Concrete - Testing</t>
  </si>
  <si>
    <t>From Home Depot - Hold Downs and Strong Ties</t>
  </si>
  <si>
    <t>From Home Depot - Drill Bit, Hex Nuts, and Washer</t>
  </si>
  <si>
    <t>From Home Depot - Nailing Hammer, Zip Tape, Extension Cord, Shovel</t>
  </si>
  <si>
    <t>From Home Depot - Washer, Hex Nuts, Bolts, Cooler</t>
  </si>
  <si>
    <t>From Home Depot - Washer, Hex Nuts, Rods</t>
  </si>
  <si>
    <t>From Home Depot - Hex Nuts</t>
  </si>
  <si>
    <t>Truss Material - Dog Houses</t>
  </si>
  <si>
    <t>From American Truss - 50% Deposit</t>
  </si>
  <si>
    <t>For Reytex Framing Corporation - Invoice 24</t>
  </si>
  <si>
    <t>For Reytex Framing Corporation - Invoice 25</t>
  </si>
  <si>
    <t>For Reytex Framing Corporation - Invoice 26</t>
  </si>
  <si>
    <t>From Red River Brick (A General Shale Company)</t>
  </si>
  <si>
    <t>Stucco/Stone Material</t>
  </si>
  <si>
    <t>Stucco Rough and Finish Labor</t>
  </si>
  <si>
    <t>From VG Stucco - Second Invoice</t>
  </si>
  <si>
    <t>From Equipment Share</t>
  </si>
  <si>
    <t>Model Room Labor and Material</t>
  </si>
  <si>
    <t>Change Order - RFM Ventures</t>
  </si>
  <si>
    <t>Linen Chute</t>
  </si>
  <si>
    <t>From Kasl Enterprises</t>
  </si>
  <si>
    <t>Third Invoice</t>
  </si>
  <si>
    <t>Structured Cabling - First Payment</t>
  </si>
  <si>
    <t>From PSM Tech</t>
  </si>
  <si>
    <t>Electrical Rough In Labor</t>
  </si>
  <si>
    <t>GMC Electric - Adjusted Balance (True Up From Prior Draw)</t>
  </si>
  <si>
    <t>From Home Depot - Bags, Paper Towels, Cleaner, Bucket</t>
  </si>
  <si>
    <t>From Home Depot - Adjustable Table</t>
  </si>
  <si>
    <t>From Home Depot - Lumber</t>
  </si>
  <si>
    <t>From Home Depot - Screws</t>
  </si>
  <si>
    <t>For Reytex Framing Corporation - Invoice 28</t>
  </si>
  <si>
    <t>From Home Depot - RigidLam</t>
  </si>
  <si>
    <t>From American Truss - Remaining Payment</t>
  </si>
  <si>
    <t>For June 2025</t>
  </si>
  <si>
    <t>Boulder Construction - For June 2025</t>
  </si>
  <si>
    <t>From Triple A Stucco</t>
  </si>
  <si>
    <t>From VG Stucco - Basecoat, Stone &amp; Stucco Finish</t>
  </si>
  <si>
    <t>GMC Electric</t>
  </si>
  <si>
    <t>[To Be Paid]</t>
  </si>
  <si>
    <t>NA</t>
  </si>
  <si>
    <t>VTAC Costs - Remaining Payment</t>
  </si>
  <si>
    <t>From Home Depot - Paint/Canyew Panel/Dark Walnut</t>
  </si>
  <si>
    <t>From A-1 Little John</t>
  </si>
  <si>
    <t>From Home Depot - Padlock</t>
  </si>
  <si>
    <t>Import Dirt Material for Concrete</t>
  </si>
  <si>
    <t>Alliance Trucking</t>
  </si>
  <si>
    <t>From Home Depot - Plastic Coated Framing Nails</t>
  </si>
  <si>
    <t>From Home Depot - Plastic Coated Framing Nails/Liquid Nails</t>
  </si>
  <si>
    <t>From Home Depot - Saw Blad/Dimensional Lumber</t>
  </si>
  <si>
    <t>From Home Depot - Utility Knife</t>
  </si>
  <si>
    <t>From Home Depot - Wood Dolly</t>
  </si>
  <si>
    <t>From Home Depot - Anchor/Hex Drive/Drill Bit/Cut Washer</t>
  </si>
  <si>
    <t>From Home Depot - Marking Paint for Trusses</t>
  </si>
  <si>
    <t>From Home Depot - Drill Bit/Screw/Dimensional Lumber</t>
  </si>
  <si>
    <t>From Home Depot - Dimensional Lumber/Spray Paint</t>
  </si>
  <si>
    <t>From Home Depot - Cedar Lumber/Wood Screw</t>
  </si>
  <si>
    <t>For Reytex Framing Corporation - Truss Change Order</t>
  </si>
  <si>
    <t>From Home Depot - Wood Screws &amp; Lag Screws</t>
  </si>
  <si>
    <t>From Home Depot - Drywall Screws</t>
  </si>
  <si>
    <t>From Home Depot - Lag Screws</t>
  </si>
  <si>
    <t>For Reytex Framing Corporation - Invoice 30</t>
  </si>
  <si>
    <t>From Home Depot - Galvanized Joist Hanger</t>
  </si>
  <si>
    <t>From Home Depot - OSB Wall Sheathing</t>
  </si>
  <si>
    <t>From Home Depot - OSB Wall Sheathing &amp; Ratcheting Suspension</t>
  </si>
  <si>
    <t>From Harbor Freight</t>
  </si>
  <si>
    <t>Framing and Trusses Labor</t>
  </si>
  <si>
    <t>From RFM Ventures</t>
  </si>
  <si>
    <t>From VG Stucco - Pay App 04</t>
  </si>
  <si>
    <t>From EquipmentShare</t>
  </si>
  <si>
    <t>Windows Installation</t>
  </si>
  <si>
    <t>From GW Glass Construction</t>
  </si>
  <si>
    <t>Swimming Pool Labor and Material</t>
  </si>
  <si>
    <t>From San Diego Pool's and Shotcrete - Pay App 01</t>
  </si>
  <si>
    <t>From Iceberg Heating &amp; AC - Pay App 04</t>
  </si>
  <si>
    <t>VTAC Grilles</t>
  </si>
  <si>
    <t>Electrical Rough In Labor and Unit Feeders</t>
  </si>
  <si>
    <t>GMC Electric - Pay App 05</t>
  </si>
  <si>
    <t>Flume, Sidewalk and CO</t>
  </si>
  <si>
    <t>From MD Bowles Construction - Pay App 09</t>
  </si>
  <si>
    <t>[TBD]</t>
  </si>
  <si>
    <t>Fence Gate Relocation &amp; Addition</t>
  </si>
  <si>
    <t>From Viking Fence Co</t>
  </si>
  <si>
    <t>From Home Depot - Pliers</t>
  </si>
  <si>
    <t>Labor &amp; Gas for Generators</t>
  </si>
  <si>
    <t>From J&amp;S7 Consulting</t>
  </si>
  <si>
    <t>From Home Depot - Multi-Surface Primer, Sealer, and Stain Blocker</t>
  </si>
  <si>
    <t>From Home Depot - Bucket</t>
  </si>
  <si>
    <t>Monthly Plan Printing Expense</t>
  </si>
  <si>
    <t>From Great America Financial Services</t>
  </si>
  <si>
    <t>Misc. Wire and ACH Fees for RIW - True Up</t>
  </si>
  <si>
    <t>From Austin Bank for Wires and ACH</t>
  </si>
  <si>
    <t>Bank Fees for Checks</t>
  </si>
  <si>
    <t>From Austin Bank for Checks</t>
  </si>
  <si>
    <t>Misc. Jobsite Office Expenses (Computer, etc.)</t>
  </si>
  <si>
    <t>From Micro Center</t>
  </si>
  <si>
    <t>Misc. Jobsite Office Expenses (Radios)</t>
  </si>
  <si>
    <t>From Rapid Radios</t>
  </si>
  <si>
    <t>Cellular Data &amp; WiFi for Jobsite Office - True Up</t>
  </si>
  <si>
    <t>From Google Fi</t>
  </si>
  <si>
    <t>Inlet Protection</t>
  </si>
  <si>
    <t>From White Cap</t>
  </si>
  <si>
    <t>Staking Sidewalk, Flume, &amp; Light Poles</t>
  </si>
  <si>
    <t>From Home Depot - Washers</t>
  </si>
  <si>
    <t>From Home Depot - Loose Lumber</t>
  </si>
  <si>
    <t>From Home Depot - Hex Nut, Washers, and Threaded Rods</t>
  </si>
  <si>
    <t>From Home Depot - Simpson Hold Downs</t>
  </si>
  <si>
    <t>From Home Depot - Sheathing and Loose Lumber</t>
  </si>
  <si>
    <t>From Home Depot - Galvanized Nuts</t>
  </si>
  <si>
    <t>For Reytex Framing Corporation - Invoice 32</t>
  </si>
  <si>
    <t>For Reytex Framing Corporation - Material Reimbursement</t>
  </si>
  <si>
    <t>From Home Depot - Framing Nails</t>
  </si>
  <si>
    <t>Framing Labor - Hardware</t>
  </si>
  <si>
    <t>For Martin Aguilar</t>
  </si>
  <si>
    <t>From Home Depot - Liquid Nails</t>
  </si>
  <si>
    <t>From Home Depot - LVL and Hold Downs</t>
  </si>
  <si>
    <t>From Home Depot - LVL and Hold Downs (Refund)</t>
  </si>
  <si>
    <t>For Reytex Framing Corporation - Invoice 33</t>
  </si>
  <si>
    <t>From Home Depot - Dimensional Lumber/Flashing Tape/Wall &amp; Roof Panel</t>
  </si>
  <si>
    <t>From Silicone Specialities - Pay App 05</t>
  </si>
  <si>
    <t>From Red River Brick - Pay App 05</t>
  </si>
  <si>
    <t>Hook, Bars, Rods, Seats, Glass Shelf, Toilet Holder</t>
  </si>
  <si>
    <t>From JMHS - Bathroom Scope 50% Deposit - RIWTX-102</t>
  </si>
  <si>
    <t>Shower Surrounds</t>
  </si>
  <si>
    <t>Undermount Vanity Sink</t>
  </si>
  <si>
    <t>Fixed Glass Shower Panel and Hinge Shower Door</t>
  </si>
  <si>
    <t>Oncor Easement</t>
  </si>
  <si>
    <t>From Traverse Land Surveying</t>
  </si>
  <si>
    <t>From Elliott Electric</t>
  </si>
  <si>
    <t>For July 2025</t>
  </si>
  <si>
    <t>Boulder Construction - For July 2025</t>
  </si>
  <si>
    <t>Second Invoice - Change Orders</t>
  </si>
  <si>
    <t>From LED Roofing</t>
  </si>
  <si>
    <t>From VG Stucco - Pay App 05</t>
  </si>
  <si>
    <t>Fire Sprinkler Rough and Stand Pipe</t>
  </si>
  <si>
    <t>From Safe Life FP (Invoice 03) - Split</t>
  </si>
  <si>
    <t>Fire Sprinkler - Change Order</t>
  </si>
  <si>
    <t>Equipment Rentals (For Electrical)</t>
  </si>
  <si>
    <t>From Home Depot - Sprayer, Saftey Vest, Combo Lock, Refill and Hard Hat</t>
  </si>
  <si>
    <t>From Home Depot - Black Diamond Trimmer Line</t>
  </si>
  <si>
    <t>From Home Depot - Caution Sign</t>
  </si>
  <si>
    <t>From Racetrac</t>
  </si>
  <si>
    <t>Misc. Jobsite Expenses (Softwares, etc.)</t>
  </si>
  <si>
    <t>From Docusign</t>
  </si>
  <si>
    <t>Misc. Jobsite Expenses (Softwares, etc.) - True Up</t>
  </si>
  <si>
    <t>From Togal</t>
  </si>
  <si>
    <t>From Loom</t>
  </si>
  <si>
    <t>From Lydul</t>
  </si>
  <si>
    <t>Cellular Data &amp; WiFi for Jobsite Office</t>
  </si>
  <si>
    <t>Diesel for Generator</t>
  </si>
  <si>
    <t>From Sunoco Gas</t>
  </si>
  <si>
    <t>From Circle K</t>
  </si>
  <si>
    <t>Residence Backpack</t>
  </si>
  <si>
    <t>From Amazon</t>
  </si>
  <si>
    <t>From AT&amp;T</t>
  </si>
  <si>
    <t>Takeoffs, Scheduling / Forecasting, Punch Lists, etc. - True Up</t>
  </si>
  <si>
    <t>Water Hose for Water Meter</t>
  </si>
  <si>
    <t>From Stuart Hose &amp; Pipe</t>
  </si>
  <si>
    <t>From Home Depot - Plastic Utility Pump</t>
  </si>
  <si>
    <t>Concrete and Density Testing</t>
  </si>
  <si>
    <t>Quikcrete Concrete Mix</t>
  </si>
  <si>
    <t>From Home Depot - Concrete Mix</t>
  </si>
  <si>
    <t>Framing Labor - Misc. Punch List</t>
  </si>
  <si>
    <t>Travel for Truss Engineer - Inspection</t>
  </si>
  <si>
    <t>From Expedia</t>
  </si>
  <si>
    <t>From Home Depot - OSB Subfloor &amp; Dimensional Lumber</t>
  </si>
  <si>
    <t>From Home Depot - Ratchet &amp; Screws</t>
  </si>
  <si>
    <t>From Home Depot - Zinc &amp; Galvanized Screws</t>
  </si>
  <si>
    <t>From Home Depot - Galvanized Washer</t>
  </si>
  <si>
    <t>From Home Depot - Galvanised Hex Nut, Carriage Bolt, Drill Bit, Washer</t>
  </si>
  <si>
    <t>From Home Depot - Sheathing Panel</t>
  </si>
  <si>
    <t>From Home Depot - Southern Yellow Pine Dimensional Lumber</t>
  </si>
  <si>
    <t>From Home Depot - Adhesive, Retrofit Bolt, Standoff Post and Post Cap</t>
  </si>
  <si>
    <t>From Home Depot - Exterior Wall Sheathing</t>
  </si>
  <si>
    <t>From Home Depot - Pressure Treated Timber Wood Post and Lumber</t>
  </si>
  <si>
    <t>From Home Depot - Loose Lumber Refund</t>
  </si>
  <si>
    <t>Millwork 50% Deposit</t>
  </si>
  <si>
    <t>From Graniti Vicentia LLC</t>
  </si>
  <si>
    <t>From Silicone Specialities - Pay App 06</t>
  </si>
  <si>
    <t>Insulation for Ceiling / Interior Wall / Corridor</t>
  </si>
  <si>
    <t>RFM Ventures - Third Invoice (First Payment)</t>
  </si>
  <si>
    <t>Drywall Material</t>
  </si>
  <si>
    <t>From Home Depot - Drywall Screws &amp; Tape</t>
  </si>
  <si>
    <t>From Home Depot - Knife, Tape, Pan, etc.</t>
  </si>
  <si>
    <t>From Home Depot - Drywall Joint Tape</t>
  </si>
  <si>
    <t>From Home Depot - Tarp, Knife, Shear &amp; Tin Snip</t>
  </si>
  <si>
    <t>Labor for Sheetrocking Elevator</t>
  </si>
  <si>
    <t>From JG AU Drywall</t>
  </si>
  <si>
    <t>Mechanical Equipment</t>
  </si>
  <si>
    <t>From Trane - Iceberg Heating &amp; Ac</t>
  </si>
  <si>
    <t>Elliott Electric - Return</t>
  </si>
  <si>
    <t>From GMC Electric</t>
  </si>
  <si>
    <t>For August 2025</t>
  </si>
  <si>
    <t>Boulder Construction - For August 2025</t>
  </si>
  <si>
    <t>From VG Stucco - Pay App 06</t>
  </si>
  <si>
    <t>RFM Ventures - Third Invoice (Final Payment)</t>
  </si>
  <si>
    <t>RC Channel &amp; Sheetrocking for Walls, Celing, Corridor</t>
  </si>
  <si>
    <t>Elevator Material &amp; Installation Labor</t>
  </si>
  <si>
    <t>From Kone</t>
  </si>
  <si>
    <t>Pay App needs to be revised upward by $500 before Docusign. Actual Retainage Amount for Past Draw is $34,335 instead of $33,835.</t>
  </si>
  <si>
    <t>Pay App needs to be revised upward by $3,000 before Docusign. Actual Gross Amount for Past Draw is $80,848 instead of $70,848.</t>
  </si>
  <si>
    <t>From Home Depot - Ripstop, Permanent Marker &amp; Spray Paint</t>
  </si>
  <si>
    <t>Misc. Jobsite Expenses</t>
  </si>
  <si>
    <t>From Home Depot - Lock, Gloves, Clean-Up Bags, Safety Vest, Tow Chains</t>
  </si>
  <si>
    <t>From Home Depot - Master Lock, Staple &amp; Door Hinge</t>
  </si>
  <si>
    <t>Fuel</t>
  </si>
  <si>
    <t>From Interstate</t>
  </si>
  <si>
    <t>Lunch</t>
  </si>
  <si>
    <t>Hydration</t>
  </si>
  <si>
    <t>From N Highway</t>
  </si>
  <si>
    <t>From Plaud</t>
  </si>
  <si>
    <t>Gas/Fuel/Travel Expenses - True Up</t>
  </si>
  <si>
    <t>Meals/Gas/Fuel/Travel Expenses - True Up</t>
  </si>
  <si>
    <t>From City of Waxahachie</t>
  </si>
  <si>
    <t>Concrete Mix</t>
  </si>
  <si>
    <t>For AIM CS Inc</t>
  </si>
  <si>
    <t>From Harbor Freight - Ladders</t>
  </si>
  <si>
    <t>From Harbor Freight - Safety Stand, Wrench, Screws</t>
  </si>
  <si>
    <t>From Home Depot - OSB Subfloor and Pine Dimensional Lumber</t>
  </si>
  <si>
    <t>From Home Depot - Framing Nails &amp; Dimensional Lumber</t>
  </si>
  <si>
    <t>From Home Depot - Galvanized Bolts, Standoff Post Base and Adhesive</t>
  </si>
  <si>
    <t>From Home Depot - Washer &amp; Hex Nut</t>
  </si>
  <si>
    <t>Framing Log + Verification</t>
  </si>
  <si>
    <t>For Truss and Framing Corrections</t>
  </si>
  <si>
    <t>Insulation Inspection</t>
  </si>
  <si>
    <t>Various</t>
  </si>
  <si>
    <t>For September 2025</t>
  </si>
  <si>
    <t>Boulder Construction - For September 2025</t>
  </si>
  <si>
    <t>Elevator Generator - Equipment</t>
  </si>
  <si>
    <t>Concrete - Equipment</t>
  </si>
  <si>
    <t>Final Invoice</t>
  </si>
  <si>
    <t>Insulation for Floor 4</t>
  </si>
  <si>
    <t>RFM Ventures - Fourth Invoice</t>
  </si>
  <si>
    <t>RC Channel &amp; Sheetrock for Floor 4</t>
  </si>
  <si>
    <t>Texture &amp; Tape/Bed/Sand for Floors 2/3</t>
  </si>
  <si>
    <t>From Kone - Allocated Payment (Pay App 05)</t>
  </si>
  <si>
    <t>From Iceberg Heating &amp; AC - Pay App 05 (Final Payment)</t>
  </si>
  <si>
    <t>Meals</t>
  </si>
  <si>
    <t>From Ohana</t>
  </si>
  <si>
    <t>From Exxon</t>
  </si>
  <si>
    <t>From [200S Interstate]</t>
  </si>
  <si>
    <t>Takeoffs, Scheduling / Forecasting, Punch Lists, etc.</t>
  </si>
  <si>
    <t>From Home Depot - Coat Welded Wire, Metal T-Post &amp; Clips &amp; Post Driver</t>
  </si>
  <si>
    <t>Jobsite Equipment</t>
  </si>
  <si>
    <t>From Home Depot - Degreaser Concrete Pressure Wash &amp; Concrete</t>
  </si>
  <si>
    <t>Bore for PVC</t>
  </si>
  <si>
    <t>From Alpha Directional Drilling</t>
  </si>
  <si>
    <t>Import Dirt Material</t>
  </si>
  <si>
    <t>Elevator Concrete Work</t>
  </si>
  <si>
    <t>From POR Construction</t>
  </si>
  <si>
    <t>Concrete &amp; Masonry Waterproofer</t>
  </si>
  <si>
    <t>From Home Depot - Aerosol Liquid Rubber Sealant Coating</t>
  </si>
  <si>
    <t>From Home Depot - Waterproof Patch and Seal Tape Black, Insect Repellent</t>
  </si>
  <si>
    <t>From Home Depot - Window and Door Sealant Clear</t>
  </si>
  <si>
    <t>From Home Depot - Shackle, Slide Lock &amp; Zinc Thread</t>
  </si>
  <si>
    <t>From Home Depot -Simpson Epoxy Adhesive &amp; Retro-Fit Bolt</t>
  </si>
  <si>
    <t>From Home Depot -Simpson Epoxy Adhesive &amp; Retro-Fit Bolt Refund</t>
  </si>
  <si>
    <t>From Home Depot - Galvanized Screw</t>
  </si>
  <si>
    <t>EFIS Payment - Change Order for Stone Columns</t>
  </si>
  <si>
    <t>From VG Stucco - Pay App 07 (First Payment)</t>
  </si>
  <si>
    <t>EFIS Payment</t>
  </si>
  <si>
    <t>From VG Stucco - Pay App 07 (Final Payment)</t>
  </si>
  <si>
    <t>Windows Fixes</t>
  </si>
  <si>
    <t>From Bryant Construction</t>
  </si>
  <si>
    <t>Doors Material</t>
  </si>
  <si>
    <t>From Home Depot - Commercial Grade with Ball Bearing  &amp; Butt Door Hinge</t>
  </si>
  <si>
    <t>From Home Depot - Interior Primer</t>
  </si>
  <si>
    <t>Paint Brush, Extension Cord, Waterproofer &amp; Floor Fan</t>
  </si>
  <si>
    <t>Interior Primer</t>
  </si>
  <si>
    <t>Paint Brush &amp; Waterproofer</t>
  </si>
  <si>
    <t>Tile Leveling Clip and Cutters, Diamond Blade &amp; Adhesive</t>
  </si>
  <si>
    <t>Tile Leveling Clip, Rim Blade with Mesh &amp; Thinset Mortar</t>
  </si>
  <si>
    <t>Tile Leveling Clip &amp; Contractor Bags</t>
  </si>
  <si>
    <t>Thinset Mortar</t>
  </si>
  <si>
    <t>Tile Leveling Clip, Lubricant Spray &amp; Thinset Mortar</t>
  </si>
  <si>
    <t>Aluminium Reducer Tile Edging Trim</t>
  </si>
  <si>
    <t>Aluminium Reducer Tile Edging Trim Refund</t>
  </si>
  <si>
    <t>Flooring Material</t>
  </si>
  <si>
    <t>From Home Depot - All Surface Construction Adhesive</t>
  </si>
  <si>
    <t>Thinset Mortar &amp; Contractor Bags</t>
  </si>
  <si>
    <t>From Home Depot - Silicone Caulk &amp; Gun, Diamond Blade, Painter's Towels</t>
  </si>
  <si>
    <t>From Home Depot - Drywall Screw</t>
  </si>
  <si>
    <t>From Home Depot - Premium Tile Diamond Blade</t>
  </si>
  <si>
    <t>Liquid Nails, Thinset Mortar, Tile Leveling Stems &amp; Caps</t>
  </si>
  <si>
    <t>Flooring Labor</t>
  </si>
  <si>
    <t>TKG Construction</t>
  </si>
  <si>
    <t>From Home Depot - Heavy Duty Temporary Floor Protection</t>
  </si>
  <si>
    <t>From Home Depot - Bi-Metal Hole Saw and Multi-Use Painter's Tape</t>
  </si>
  <si>
    <t>Self-Leveling Underlayment &amp; Thinset Mortar</t>
  </si>
  <si>
    <t>Self-Leveling Underlayment &amp; Spray Foam Sealant</t>
  </si>
  <si>
    <t>From Floor &amp; Décor</t>
  </si>
  <si>
    <t>Paint Material</t>
  </si>
  <si>
    <t>From PPG Paints</t>
  </si>
  <si>
    <t>TKG Construction Final Payment</t>
  </si>
  <si>
    <t>From JMHS - Bathroom Scope Remaining 50% Payment - RIWTX-102</t>
  </si>
  <si>
    <t>Fire Extinguisher Cabinets</t>
  </si>
  <si>
    <t>From Texas Fire Extinguishers</t>
  </si>
  <si>
    <t>FF&amp;E Labor</t>
  </si>
  <si>
    <t>Unloading, Clean Up, &amp; Other Misc. Tasks</t>
  </si>
  <si>
    <t>Plumbing Material</t>
  </si>
  <si>
    <t>From Home Depot - Utility Pump &amp; Tethered Switch</t>
  </si>
  <si>
    <t>From Home Depot - HP Plastic Utlity Pump</t>
  </si>
  <si>
    <t>Electrical Labor</t>
  </si>
  <si>
    <t>From Elliott Electrical</t>
  </si>
  <si>
    <t>Newman &amp; Trucker</t>
  </si>
  <si>
    <t>For October 2025</t>
  </si>
  <si>
    <t>Boulder Construction - For October 2025</t>
  </si>
  <si>
    <t>Gypcrete</t>
  </si>
  <si>
    <t>From Kent Companies</t>
  </si>
  <si>
    <t>Insulation for Floor 1</t>
  </si>
  <si>
    <t>From RFM Ventures - Pay App 06</t>
  </si>
  <si>
    <t>RC Channel &amp; Sheetrock for Floor 1</t>
  </si>
  <si>
    <t>Texture &amp; Tape/Bed/Sand for Floors 1 to 4</t>
  </si>
  <si>
    <t>Coat Heavy Primer 2 Coat Paint Floors 1 to 4</t>
  </si>
  <si>
    <t>ACT 2 Draws Floors 1 to 4</t>
  </si>
  <si>
    <t>Kitchen Equipment</t>
  </si>
  <si>
    <t>Laundry Equipment</t>
  </si>
  <si>
    <t>Elevator - Equipment</t>
  </si>
  <si>
    <t>From Iceberg Heating &amp; AC - Pay App 06</t>
  </si>
  <si>
    <t>Electrical - Equipment</t>
  </si>
  <si>
    <t>Painting Material</t>
  </si>
  <si>
    <t>For November  2025</t>
  </si>
  <si>
    <t>Boulder Construction - For November  2025</t>
  </si>
  <si>
    <t>For  December 2025</t>
  </si>
  <si>
    <t>Boulder Construction - For  December 2025</t>
  </si>
  <si>
    <t>Door Install Labor</t>
  </si>
  <si>
    <t>From TKG Construction</t>
  </si>
  <si>
    <t>Vinyl for Floors 1 to 4</t>
  </si>
  <si>
    <t>From RFM Ventures - Pay App 06 (Final Payment)</t>
  </si>
  <si>
    <t>ACT Floor 1</t>
  </si>
  <si>
    <t>Change Order - FF&amp;E Installation</t>
  </si>
  <si>
    <t>Tub/Shower Surround Installation</t>
  </si>
  <si>
    <t>Fire Sprinkler Trim</t>
  </si>
  <si>
    <t>From Safe Life FP (Invoice 04)</t>
  </si>
  <si>
    <t>From Iceberg Heating &amp; AC - Pay App 07</t>
  </si>
  <si>
    <t>From Iceberg Heating &amp; AC - Pay App 08</t>
  </si>
  <si>
    <t>Jobsite Material Expenses</t>
  </si>
  <si>
    <t>From Home Depot - Rust-Oleum Stops Rust 5 in 1 Custom Spray</t>
  </si>
  <si>
    <t>From Willscott</t>
  </si>
  <si>
    <t>From Home Depot - Washer Head Drill-Point Screw &amp; Padlock with Key</t>
  </si>
  <si>
    <t>From Home Depot - Contractor Bags</t>
  </si>
  <si>
    <t>From Home Depot - Black Large Chisel Tip Jobsite Permanent Marker</t>
  </si>
  <si>
    <t>From Home Depot - Vacuum with Filter, Hose and Accessories</t>
  </si>
  <si>
    <t>From Lovers</t>
  </si>
  <si>
    <t>From Texaco</t>
  </si>
  <si>
    <t>From QT</t>
  </si>
  <si>
    <t>Meal</t>
  </si>
  <si>
    <t>From Dairy Queen</t>
  </si>
  <si>
    <t>Fuel/Vehicle</t>
  </si>
  <si>
    <t>From Take 5</t>
  </si>
  <si>
    <t>From Google One</t>
  </si>
  <si>
    <t>From S P Plaud</t>
  </si>
  <si>
    <t>Misc. Wire and ACH Fees for RIW</t>
  </si>
  <si>
    <t>Utility Material</t>
  </si>
  <si>
    <t>Utility Labor</t>
  </si>
  <si>
    <t>Concrete Material</t>
  </si>
  <si>
    <t>From Home Depot - Rotary Hammer &amp; Carbide Drill Bit</t>
  </si>
  <si>
    <t>From Home Depot - Turbo Diamond Blade &amp; Diamond Grit</t>
  </si>
  <si>
    <t>From Home Depot - Prime KD Whitewood Stud &amp; Sheathing Material</t>
  </si>
  <si>
    <t>From Home Depot - Thread Coated Exterior Wood Screws &amp; Cutting Tool-Kit</t>
  </si>
  <si>
    <t>From Home Depot - Standard Grade Dimensional Lumber</t>
  </si>
  <si>
    <t>From Home Depot - Southern Yellow Pine Lumber</t>
  </si>
  <si>
    <t>From Home Depot - Glue Collated Straight Finish Nails</t>
  </si>
  <si>
    <t>From Home Depot - Sheathing Material &amp; Heavy Duty Glove</t>
  </si>
  <si>
    <t>EFIS</t>
  </si>
  <si>
    <t>From VG Stucco</t>
  </si>
  <si>
    <t>EIFS Mesh, Dryvit Sandblast &amp; Adhesive, Portland Cement</t>
  </si>
  <si>
    <t>From Silicone Specialities Inc</t>
  </si>
  <si>
    <t>Windows Installation Labor</t>
  </si>
  <si>
    <t>Doors and Hardware</t>
  </si>
  <si>
    <t>From WB Doors</t>
  </si>
  <si>
    <t>From Home Depot - Flush Right Hand Inswing Steel Prehung Front Door</t>
  </si>
  <si>
    <t>From Home Depot - Polymer-Modified Thinset Mortar</t>
  </si>
  <si>
    <t>From Home Depot - Original Multi-Use Painter's Tape</t>
  </si>
  <si>
    <t>From Home Depot - High Density Painters Plastic Sheeting &amp; Multi-Use Painter Tape</t>
  </si>
  <si>
    <t>From Home Depot - Cement Backerboard &amp; Polymer-Modified Thinset Mortar</t>
  </si>
  <si>
    <t>From Home Depot - Drywall Screws &amp; Exterior Wood Screws</t>
  </si>
  <si>
    <t>From Home Depot - Board Surface Protector Paper &amp; Heavy Duty Tape</t>
  </si>
  <si>
    <t>From Home Depot - Diamond Grit Grout Removal Multi-Tool Blade</t>
  </si>
  <si>
    <t>Carpet Installation</t>
  </si>
  <si>
    <t>From Home Depot - Self-Adhesive Film &amp; Carpet Protection Self Adhesive Film</t>
  </si>
  <si>
    <t>From Home Depot - Self-Adhesive Film</t>
  </si>
  <si>
    <t>From Home Depot - Black Forced Air Kerosene/Diesel Outdoor Space Heater with Thermostat</t>
  </si>
  <si>
    <t>From Home Depot - Drywall Anchors, Drywall Screws, Steel Screwdriving Bit</t>
  </si>
  <si>
    <t>From Home Depot - Construction Adhesive, Bi-Metal Hole Saw &amp; Tape</t>
  </si>
  <si>
    <t>From Home Depot - Drywall Anchors &amp; Microfiber Spin Mop</t>
  </si>
  <si>
    <t>From RFM Ventures - Pay App 06 (First Payment)</t>
  </si>
  <si>
    <t>Texture &amp; Tape/Bed/Sand for Floor 1</t>
  </si>
  <si>
    <t>Paint for Floor 1</t>
  </si>
  <si>
    <t>Misc. Shower/Surround Install Material</t>
  </si>
  <si>
    <t>From Home Depot - Kitchen &amp; Bath Sealant Clear &amp; Furring Strip Board</t>
  </si>
  <si>
    <t>From Home Depot - Window, Door, Kitchen &amp; Bath Sealant White, Acetone</t>
  </si>
  <si>
    <t>From Home Depot - Window, Door, Kitchen &amp; Bath Sealant White &amp; Liquid Nails</t>
  </si>
  <si>
    <t>From Home Depot - Acetone, Furring Strip Board &amp; Heavy Duty Nitrile</t>
  </si>
  <si>
    <t>From Home Depot - Kitchen and Bath Sealant White &amp; Finish Nails</t>
  </si>
  <si>
    <t>From Home Depot - Window &amp; Door Sealant White and Hardwood Blade</t>
  </si>
  <si>
    <t>From Home Depot - Kitchen and Bath Sealant White</t>
  </si>
  <si>
    <t>From Home Depot - Furring Strip Board &amp; Multi-Purpose Terry Towel</t>
  </si>
  <si>
    <t>From Home Depot - Urine Remover Spray, Sealer and Stain-Blocker Aerosol, etc.</t>
  </si>
  <si>
    <t>From Home Depot - All Surface Construction Adhesive, Furring Strip Board, etc.</t>
  </si>
  <si>
    <t>From Home Depot - Window and Door Sealant White</t>
  </si>
  <si>
    <t>From Home Depot - Painter's Tape, Epoxy and Adhesives &amp; Fiberglass Resins</t>
  </si>
  <si>
    <t>FF&amp;E Installation</t>
  </si>
  <si>
    <t>From Home Depot - Blue Medium Duty Tarp</t>
  </si>
  <si>
    <t>From Home Depot - Wood Moving Dolly</t>
  </si>
  <si>
    <t>From Home Depot - Bidirectional Break Shim &amp; Painters Multi-Tool</t>
  </si>
  <si>
    <t>From Home Depot - Reversible Drill &amp; Multi-Tool Oscillating Blade, etc.</t>
  </si>
  <si>
    <t>From Home Depot - Stretch Wrap</t>
  </si>
  <si>
    <t>From Home Depot - Oscillating Blade, Thread Coated Exterior Wood Screws, etc.</t>
  </si>
  <si>
    <t>From Home Depot - Markers &amp; Wax Crayons</t>
  </si>
  <si>
    <t>Granite Installation</t>
  </si>
  <si>
    <t>From Home Depot - All-Purpose Acrylic Latex Caulk</t>
  </si>
  <si>
    <t>From Home Depot - Construction Adhesive, Japanese Hardwood Blade</t>
  </si>
  <si>
    <t>From Home Depot - Hex Drive Stainless Steel Lag Screw</t>
  </si>
  <si>
    <t>Granite Material &amp; Labor</t>
  </si>
  <si>
    <t>Mechanical</t>
  </si>
  <si>
    <t>From Home Depot - Indoor/Outdoor Wireless Thermometer &amp; Acurite Monitor</t>
  </si>
  <si>
    <t>Guest Room Thermostats</t>
  </si>
  <si>
    <t>From Supply House</t>
  </si>
  <si>
    <t>Thermostats</t>
  </si>
  <si>
    <t>From Jackson B2C</t>
  </si>
  <si>
    <t>Thermostats - Refund</t>
  </si>
  <si>
    <t>From Home Depot - Electrical Nonmetallic Tubing &amp; Black Oxide Step Drill Bit</t>
  </si>
  <si>
    <t>From Home Depot - Electrical Nonmetallic Tubing</t>
  </si>
  <si>
    <t>From Home Depot - Indoor Multi-Outlet Extension Cord with Banana Tap</t>
  </si>
  <si>
    <t>From Home Depot - Extension Cords and Appliance Replacement Cord</t>
  </si>
  <si>
    <t>General Liability Insurance</t>
  </si>
  <si>
    <t>From Liberty Mutual</t>
  </si>
  <si>
    <t>From MA Williams Plumbing - Partial Adjusted in Prior Forecast</t>
  </si>
  <si>
    <t>Misc. Jobsite Material Expenses</t>
  </si>
  <si>
    <t>From Home Depot - Diesel Exhaust Fluid</t>
  </si>
  <si>
    <t>Construction Site Camera</t>
  </si>
  <si>
    <t>From Birdseye Surveillance LLC</t>
  </si>
  <si>
    <t>From Rodolfo Rios</t>
  </si>
  <si>
    <t>From David Salinas</t>
  </si>
  <si>
    <t>OpenSpace Camera - Battery</t>
  </si>
  <si>
    <t xml:space="preserve">From Amazon </t>
  </si>
  <si>
    <t>OpenSpace Camera - SD Card</t>
  </si>
  <si>
    <t>OpenSpace Camera - Cover</t>
  </si>
  <si>
    <t>Jobs Supervisor Equipment Accessories</t>
  </si>
  <si>
    <t>OpenSpace Camera - Stick</t>
  </si>
  <si>
    <t>Meals &amp; Fuel</t>
  </si>
  <si>
    <t>For Jobsite Travel</t>
  </si>
  <si>
    <t xml:space="preserve">From Cardinal Strategies </t>
  </si>
  <si>
    <t>Sitework - Grade Stakes</t>
  </si>
  <si>
    <t>From AIM Construction Services</t>
  </si>
  <si>
    <t>Landscaping Pay App 01</t>
  </si>
  <si>
    <t>From 4 Nature Landscape</t>
  </si>
  <si>
    <t>Landscaping Pay App 03</t>
  </si>
  <si>
    <t>Viking Fence Invoices</t>
  </si>
  <si>
    <t>From Viking Fence</t>
  </si>
  <si>
    <t>Landscaping Pay App 02</t>
  </si>
  <si>
    <t>Concrete - Retaining Walls &amp; Perimeter Staking</t>
  </si>
  <si>
    <t>Millwork 50% Final Payment</t>
  </si>
  <si>
    <t>From Home Depot - Galvanized Lag Screw</t>
  </si>
  <si>
    <t>From VG Stucco - Pay App 09</t>
  </si>
  <si>
    <t>Doors Labor</t>
  </si>
  <si>
    <t>From JR Construction</t>
  </si>
  <si>
    <t>Door Material</t>
  </si>
  <si>
    <t>From Home Depot - Ballbearing Door Hinge</t>
  </si>
  <si>
    <t>Access Panels For Dog Houses</t>
  </si>
  <si>
    <t>From Home Depot - T-Hinge</t>
  </si>
  <si>
    <t>From Home Depot - Tan Star Drive Flat-Head Wood Deck Screws</t>
  </si>
  <si>
    <t>From Home Depot - Liquid nails, Circular Saw Blade &amp; Head Screw</t>
  </si>
  <si>
    <t>From Home Depot - Microfiber Refills &amp; Multi-Purpose Microfiber Cloth</t>
  </si>
  <si>
    <t>From Home Depot - 90-Degree Pull Elbow, Compression Coupling &amp; One-Hole Strap</t>
  </si>
  <si>
    <t>From Home Depot - Universal Patch and Skimcoat, Floor Adhesive &amp; Self-Leveling Underlayment</t>
  </si>
  <si>
    <t>From Home Depot - Adhesive &amp; Head Toggle Bolt Anchors</t>
  </si>
  <si>
    <t>From Home Depot - Trash Bags, Contractor Bags &amp; Towels</t>
  </si>
  <si>
    <t>From Home Depot - Cement Board, Grade, Outdoor Lock &amp; Multi-Purpose Cleaner Concentrate</t>
  </si>
  <si>
    <t>From Home Depot - Aggregate Grout &amp; Cabinet Screw</t>
  </si>
  <si>
    <t>From Home Depot - Drywall Anchors, Drilling Screws</t>
  </si>
  <si>
    <t>From Home Depot - Toggle Bolt Anchors &amp; Steel Screwdriving</t>
  </si>
  <si>
    <t>From Home Depot - Super Hold Glue, Socket Wrench &amp; Twist Drill</t>
  </si>
  <si>
    <t>From Home Depot - Contractor Grade Tan Masking Tape</t>
  </si>
  <si>
    <t>From Home Depot - Thermoplastic Rubber Wall Coil &amp; Floor Adhesive</t>
  </si>
  <si>
    <t>From Home Depot - String Mop, Dust Flat Mop, Contractor Bags &amp; Scrub Brush</t>
  </si>
  <si>
    <t>From Home Depot - Thinset Mortar</t>
  </si>
  <si>
    <t>From Home Depot - Wood Subfloors</t>
  </si>
  <si>
    <t>From Home Depot - Canister Vacuum, Floor Protection &amp; Painter's Tape</t>
  </si>
  <si>
    <t>From Home Depot - Glazed Ceramic Floor and Wall Tile</t>
  </si>
  <si>
    <t>From Lowe's - Ultracolor Plus</t>
  </si>
  <si>
    <t>From Lowe's - Ultracolor Plus &amp; Horseshoe Spacer</t>
  </si>
  <si>
    <t>COs</t>
  </si>
  <si>
    <t>From Home Depot - Drywall Material</t>
  </si>
  <si>
    <t>From Lowe's - Ultracolor Plus &amp; Flex</t>
  </si>
  <si>
    <t>Corner Guards</t>
  </si>
  <si>
    <t>From Inpro Corporation</t>
  </si>
  <si>
    <t>From Sherwin Williams</t>
  </si>
  <si>
    <t>From Home Depot - Multi Surface Painter's Tape</t>
  </si>
  <si>
    <t>From Home Depot - Waterproof &amp; Crack Prevention Membrance</t>
  </si>
  <si>
    <t>From Home Depot - Self Adhesive Film &amp; Stretch Wrap</t>
  </si>
  <si>
    <t>From Home Depot - Thinset Mortar &amp; Thermoplastic Rubber Base Coil</t>
  </si>
  <si>
    <t>From Lowe's - Masking Tape</t>
  </si>
  <si>
    <t xml:space="preserve">From C&amp;C Wholesale </t>
  </si>
  <si>
    <t>From Surface Material</t>
  </si>
  <si>
    <t>From Home Depot - Tub and Tile Silicone Caulk &amp; Window, Door and Trim Sealant</t>
  </si>
  <si>
    <t>BBQ Grill</t>
  </si>
  <si>
    <t>From BBQ</t>
  </si>
  <si>
    <t>From Home Depot - Steel Enhancing Polish,  Window and Door Sealant</t>
  </si>
  <si>
    <t>From Home Depot - Kitchen &amp; Bath Sealant White</t>
  </si>
  <si>
    <t>Caulking Material</t>
  </si>
  <si>
    <t>From Jordan Toplano</t>
  </si>
  <si>
    <t>From Home Depot - Sanded Ceramic Tile Caulk</t>
  </si>
  <si>
    <t>From Home Depot - Acrylic Latex Plus Silicone Caulk</t>
  </si>
  <si>
    <t>From Home Depot - Steel Round Tube, Head Screw, Spray Paint &amp; Primer</t>
  </si>
  <si>
    <t>From Home Depot - Adhesive &amp; Circular Saw Blade</t>
  </si>
  <si>
    <t xml:space="preserve">Granite Glue and Caulking </t>
  </si>
  <si>
    <t>From Gran Quartz</t>
  </si>
  <si>
    <t>From Kone - Allocated Payment Pay App 04</t>
  </si>
  <si>
    <t>Safety Net for Elevator</t>
  </si>
  <si>
    <t>Wall Mounted Fire Place Heater w/Thermostat</t>
  </si>
  <si>
    <t>From Home Depot - Electrical Tape &amp; Electrical Switch and Outlet Box</t>
  </si>
  <si>
    <t>Electrical - Light Pole Staking</t>
  </si>
  <si>
    <t>From Home Depot - PVC Conduit, Cable Zip &amp; Electrical Tape</t>
  </si>
  <si>
    <t>Light Pole Removal and Relocation</t>
  </si>
  <si>
    <t xml:space="preserve">From Oncor Electric Delivery Company LLC </t>
  </si>
  <si>
    <t>For January 2026</t>
  </si>
  <si>
    <t>Concrete - Testing &amp; Inspections</t>
  </si>
  <si>
    <t>From Geoscience Engineers LLC</t>
  </si>
  <si>
    <t>Backfill and Grading</t>
  </si>
  <si>
    <t>From T18 Construction LLC</t>
  </si>
  <si>
    <t>Concrete</t>
  </si>
  <si>
    <t>From M D Bowles Construction - Pay App 10</t>
  </si>
  <si>
    <t>From VG Stucco - Pay App 10</t>
  </si>
  <si>
    <t>Doors and Hardware Install</t>
  </si>
  <si>
    <t>Deliveries &amp; Repairs</t>
  </si>
  <si>
    <t>From ESSA Group of America</t>
  </si>
  <si>
    <t>Shower Door Install</t>
  </si>
  <si>
    <t>Bathroom Hardware Install</t>
  </si>
  <si>
    <t>Guestroom Granite Install</t>
  </si>
  <si>
    <t>Tub/Shower Surrounds and Pan Install</t>
  </si>
  <si>
    <t>From MA Williams Plumbing - Pay App 05</t>
  </si>
  <si>
    <t>Structured Cabling</t>
  </si>
  <si>
    <t>From PSM Tech LLC - Pay App 02</t>
  </si>
  <si>
    <t>From GMC Electric - Pay App 09</t>
  </si>
  <si>
    <t>Procore</t>
  </si>
  <si>
    <t>Metal Handrails For Stairs</t>
  </si>
  <si>
    <t>For Go Construction - Pay App 08</t>
  </si>
  <si>
    <t>From EquipmentShare - Split</t>
  </si>
  <si>
    <t>From Graniti Vicentia - Split</t>
  </si>
  <si>
    <t>From Iceberg Heating and AC - Pay App 10</t>
  </si>
  <si>
    <t>From Home Depot - Mount Starter Kit with Ball and Lock</t>
  </si>
  <si>
    <t>From Home Depot - Bottled Water And Utility Knife, Blades</t>
  </si>
  <si>
    <t>Final Cleaning Supplies</t>
  </si>
  <si>
    <t>From Home Depot - Jobsite Cleaning SuppliesCleaning Wipes and Cleaners</t>
  </si>
  <si>
    <t>Jobsite Material Refund</t>
  </si>
  <si>
    <t xml:space="preserve">From Home Depot - Refund </t>
  </si>
  <si>
    <t>Travel for Labor During Ice Storm</t>
  </si>
  <si>
    <t>From Lyft</t>
  </si>
  <si>
    <t>Booking for Security/Labor During Ice Storm</t>
  </si>
  <si>
    <t>For Jobsite</t>
  </si>
  <si>
    <t>David Salinas - Jobsite Labor</t>
  </si>
  <si>
    <t>From Waltons Muffler</t>
  </si>
  <si>
    <t>Concrete Anchors</t>
  </si>
  <si>
    <t>From Home Depot - Concrete Anchors, Drill Bit and Screws</t>
  </si>
  <si>
    <t>From Home Depot - Concrete Mix And Snacks</t>
  </si>
  <si>
    <t>From Home Depot - LED Bulb, Cable, Zinc Washer and Concrete Anchors</t>
  </si>
  <si>
    <t xml:space="preserve">Concrete Mix </t>
  </si>
  <si>
    <t xml:space="preserve">From Home Depot - Concrete Mix </t>
  </si>
  <si>
    <t>Concrete Block</t>
  </si>
  <si>
    <t>From Home Depot - Cement, Cutter and Glove</t>
  </si>
  <si>
    <t>Structural Steel Labor (CO)</t>
  </si>
  <si>
    <t>From Go Construction - Pay App 09 (Split)</t>
  </si>
  <si>
    <t>From Go Construction - Pay App 10 &amp; 11</t>
  </si>
  <si>
    <t>Stone Material</t>
  </si>
  <si>
    <t>From Metro Brick &amp; Stone</t>
  </si>
  <si>
    <t>Window Cleaning &amp; Back Fixes</t>
  </si>
  <si>
    <t>From Home Depot - Door Lock Installation Saw Set</t>
  </si>
  <si>
    <t>Electronic Locksets</t>
  </si>
  <si>
    <t>From Onity</t>
  </si>
  <si>
    <t>From Home Depot - Aluminium Channel</t>
  </si>
  <si>
    <t>Closers</t>
  </si>
  <si>
    <t>Locks</t>
  </si>
  <si>
    <t>Window Stops</t>
  </si>
  <si>
    <t>Passage Locks</t>
  </si>
  <si>
    <t>Door Hardware</t>
  </si>
  <si>
    <t>Door Hinge Pins</t>
  </si>
  <si>
    <t>Hinges</t>
  </si>
  <si>
    <t xml:space="preserve">Push / Pull </t>
  </si>
  <si>
    <t>Dummy Locks</t>
  </si>
  <si>
    <t>Panic Bars</t>
  </si>
  <si>
    <t>Automatic Door Bottom</t>
  </si>
  <si>
    <t>Doors Hardware</t>
  </si>
  <si>
    <t>From DK Hardware</t>
  </si>
  <si>
    <t>Labor And Diesel</t>
  </si>
  <si>
    <t>From Lowes - Rough Cedar Lumber (2x4x12)</t>
  </si>
  <si>
    <t>From Lowes - Framing Lumber And Fasteners</t>
  </si>
  <si>
    <t>Parking Lot Striping And ADA Markings</t>
  </si>
  <si>
    <t>From H&amp;W Extreme Cleaning Solutions - Parking Lot Striping And ADA Markings</t>
  </si>
  <si>
    <t>Landscaping</t>
  </si>
  <si>
    <t>Elevator Engineering, Materials And Installation Labor</t>
  </si>
  <si>
    <t>From KONE - Elevator Engineering, Materials And Installation Labor</t>
  </si>
  <si>
    <t>Final Cleaning</t>
  </si>
  <si>
    <t>Equipment Costs</t>
  </si>
  <si>
    <t>From Home Depot - Gypsum Board, Joint Compound and Drywall Screws and Tape</t>
  </si>
  <si>
    <t>From Home Depot - Joint Compound For Drywall Finishing</t>
  </si>
  <si>
    <t>From Home Depot - Gypsum Board, Drywall Screws and Zip Bit</t>
  </si>
  <si>
    <t>From Home Depot - Drywall Sheets (1/2 In Ultralight)</t>
  </si>
  <si>
    <t>From Home Depot - Tile Mortar and Sponge</t>
  </si>
  <si>
    <t>From Home Depot - Whitewood Stud, Saw, Drill Bit</t>
  </si>
  <si>
    <t>From Home Depot - Painting ToolsPaint Roller Frame</t>
  </si>
  <si>
    <t>From Home Depot - Temporary Heat Supplies (Kerosene And Heaters)</t>
  </si>
  <si>
    <t>Painting Material Refund</t>
  </si>
  <si>
    <t>From Home Depot - Painting Supplies (Roller Covers, Trays)</t>
  </si>
  <si>
    <t>From Home Depot - Drywall Screws box And Carpenter Pencils</t>
  </si>
  <si>
    <t>From Home Depot - Wood Moving Dolly, Water Primer and Sealerand Roller</t>
  </si>
  <si>
    <t>From Home Depot - Machine Washable Mop, Contractor Bags, Joint Compound</t>
  </si>
  <si>
    <t>From Home Depot - Joint Coumpound, Drywall Tape and Sanding Sponge</t>
  </si>
  <si>
    <t>From Home Depot - Drill Bits, Anchors and Snacks</t>
  </si>
  <si>
    <t>From Home Depot - Joint Compound</t>
  </si>
  <si>
    <t>From Home Depot - Misc.  And SuppliesSelf Adhesive Film</t>
  </si>
  <si>
    <t>From Home Depot - Jobsite SuppliesSpray Paint</t>
  </si>
  <si>
    <t>From Home Depot - Drywall Corner Bead Materials</t>
  </si>
  <si>
    <t>From Home Depot - Carpet Adhesive And Hinge and Latch Set</t>
  </si>
  <si>
    <t>From Home Depot - Carpet Flooring Adhesive</t>
  </si>
  <si>
    <t>From Home Depot - Painting SuppliesFlat Paint Brush and Plastic Sheeting</t>
  </si>
  <si>
    <t>From Home Depot - Polyblend Grout and Tile Trim</t>
  </si>
  <si>
    <t>From Home Depot - Spray Foam Sealant</t>
  </si>
  <si>
    <t>From Home Depot - Wall Shelf Bracket and Drywall Anchor</t>
  </si>
  <si>
    <t>From Home Depot - Tile Grout And Grout Float</t>
  </si>
  <si>
    <t>From Home Depot - Primer Spray And Metal Cut</t>
  </si>
  <si>
    <t>From Home Depot - Cedar Stain and Sealer, Framing Nails and Roller</t>
  </si>
  <si>
    <t>From Home Depot - Paint Brush, Gloves, Blades and Cleaners</t>
  </si>
  <si>
    <t>From Home Depot - Motar Mix, Tile Spacer and Vinyl sealer</t>
  </si>
  <si>
    <t>From Home Depot - Self Adhesive and Microfibre Cloth</t>
  </si>
  <si>
    <t>From Home Depot - Wall Base Floor Adhesive</t>
  </si>
  <si>
    <t>From Home Depot - Vinly Adhesive, Vinly Roller, Tape Roller and Flooring Trowel</t>
  </si>
  <si>
    <t>From Home Depot - Tile Setting Materials Thinset Mortar</t>
  </si>
  <si>
    <t>From Home Depot - PaintingPaint, Brush Sprays</t>
  </si>
  <si>
    <t>Painting Materials</t>
  </si>
  <si>
    <t>From Home Depot - Soap, Painter's Tape, Cleaner and Polish</t>
  </si>
  <si>
    <t>From Home Depot - Roller Catch, Tooth Rachet, Drywall Screws</t>
  </si>
  <si>
    <t>From Home Depot - Extension Cord, Drywall Screws.</t>
  </si>
  <si>
    <t>From Home Depot - Roll and Paint Bucket</t>
  </si>
  <si>
    <t>From Home Depot - Drywall Anchors, Magnetic Holder, Wood Screw</t>
  </si>
  <si>
    <t>From Home Depot - Grout</t>
  </si>
  <si>
    <t>From Home Depot - Rubber Wall Cove Base</t>
  </si>
  <si>
    <t>From Lowes - Flooring Transitions And Vinyl Divider</t>
  </si>
  <si>
    <t>From Lowes - Tile Setting Materials (Grout</t>
  </si>
  <si>
    <t>From Lowes - Transition Reducers And Flooring Trim Materials</t>
  </si>
  <si>
    <t>From Home Depot - Painting SuppliesPaint Pail and Gloves and Brushes</t>
  </si>
  <si>
    <t>From Lowe's  - Drywall</t>
  </si>
  <si>
    <t>From Lowes - Tile Setting Materials</t>
  </si>
  <si>
    <t>From Home Depot - Metal Interior/Exterior Paint</t>
  </si>
  <si>
    <t>From Lowes - Ultracolor Plus, and Sctch Blue Painter</t>
  </si>
  <si>
    <t>From Home Depot - Joint Compound &amp; Sheetrock</t>
  </si>
  <si>
    <t>Public Area Tile Carpet</t>
  </si>
  <si>
    <t>From J&amp;JR Construction</t>
  </si>
  <si>
    <t>From Lowes - Type 1Mastic Gal And Ultracolor Plus</t>
  </si>
  <si>
    <t>From Lowes - Ultracolor Plus, and Ultra Flex White</t>
  </si>
  <si>
    <t>Rubber Edge Trim</t>
  </si>
  <si>
    <t>Rubber Trims</t>
  </si>
  <si>
    <t>Stair Edging Strip</t>
  </si>
  <si>
    <t>From Cazares Carpet</t>
  </si>
  <si>
    <t>Carpet</t>
  </si>
  <si>
    <t>From C&amp;C Wholesale</t>
  </si>
  <si>
    <t>ACT</t>
  </si>
  <si>
    <t>From Gilbert</t>
  </si>
  <si>
    <t>Bathroom Partitions</t>
  </si>
  <si>
    <t>From Normex Construction</t>
  </si>
  <si>
    <t>From Lowes - Low Profile Sidewall Vent Materials</t>
  </si>
  <si>
    <t>From Home Depot - Lavatory Protector</t>
  </si>
  <si>
    <t>Toilet Material</t>
  </si>
  <si>
    <t>From Home Depot - Grab Bar</t>
  </si>
  <si>
    <t>From Home Depot - Kitchen &amp; Bath Sealant, Empoxy &amp; Resins</t>
  </si>
  <si>
    <t>From Home Depot - Silicone Caulk &amp; Thinset Mortar</t>
  </si>
  <si>
    <t>From Home Depot - Silicone Caulk &amp; Gun</t>
  </si>
  <si>
    <t>From Home Depot - Flush Right Hand Wing &amp; Drywall Material</t>
  </si>
  <si>
    <t>ADA Shower Seat</t>
  </si>
  <si>
    <t>Soap Trap Showers</t>
  </si>
  <si>
    <t>Soap Dish Showers</t>
  </si>
  <si>
    <t>From Home Depot - Sealant, Adhesive And Silicone Caulk</t>
  </si>
  <si>
    <t>From Home Depot - Silicone Caulk, Caulk Guns and Sealant Cleaner</t>
  </si>
  <si>
    <t>From Home Depot - Silicone Caulk and Sealant</t>
  </si>
  <si>
    <t>From Home Depot - Granite, Slate, Ceramic &amp; Glass Tiles Drill Bit</t>
  </si>
  <si>
    <t>From Home Depot - Caulk, Cleaner, And Contractor Trash Bags</t>
  </si>
  <si>
    <t>Closet Shelves</t>
  </si>
  <si>
    <t>Closet Magnet</t>
  </si>
  <si>
    <t>From Home Depot - Lumber, Screws, Sheathing, Panel</t>
  </si>
  <si>
    <t>From Home Depot - Tape Measure, Aviation Snips and Gypsum Board</t>
  </si>
  <si>
    <t>From Home Depot - Sanded Pine Plywood Sheets</t>
  </si>
  <si>
    <t>From Home Depot - Parawedge Wedge Anchors Pcket</t>
  </si>
  <si>
    <t>From Home Depot - Pine Plywood, Lumber and Screws</t>
  </si>
  <si>
    <t>From Home Depot - Flathead Screws and Insert Bit</t>
  </si>
  <si>
    <t>From Home Depot - 5/8 In Firecode Gypsum Board Sheets</t>
  </si>
  <si>
    <t>From Home Depot - CMU Blocks-Concrete Block and Brick Tie</t>
  </si>
  <si>
    <t>From Home Depot - Lumber, machine wash Mop and Cleaning Products</t>
  </si>
  <si>
    <t>From Home Depot - Pine Plywood and Lumber</t>
  </si>
  <si>
    <t>From Home Depot - Dimensional Lumber (2x6x10)</t>
  </si>
  <si>
    <t>From Lowes - Framing Lumber And Hardware Kit</t>
  </si>
  <si>
    <t>Trench Safety Box Rental For Utility Work</t>
  </si>
  <si>
    <t>From National Trench Safety - Trench Safety Box Rental For Utility Work</t>
  </si>
  <si>
    <t>From Home Depot - Scissors &amp; Elastic Straps</t>
  </si>
  <si>
    <t>From Home Depot - Washer, Bolt &amp; Drill Bits</t>
  </si>
  <si>
    <t>From San Diego Pools and Shotcrete</t>
  </si>
  <si>
    <t>From Martin Aguilar</t>
  </si>
  <si>
    <t>From Home Depot - Zinc Flat Washer, Nut &amp; Alloy Bit</t>
  </si>
  <si>
    <t>Jobsite Material Expense</t>
  </si>
  <si>
    <t>Jobsite Expense</t>
  </si>
  <si>
    <t>From Lowes - Framing Lumber And Fasteners Refund</t>
  </si>
  <si>
    <t>Pool Sconces</t>
  </si>
  <si>
    <t>Sconces</t>
  </si>
  <si>
    <t>Equipment Rental/Repair</t>
  </si>
  <si>
    <t>Jobsite Office Equipment</t>
  </si>
  <si>
    <t>From Best Buy</t>
  </si>
  <si>
    <t>Liquid Rubber Elevator</t>
  </si>
  <si>
    <t>Glasses</t>
  </si>
  <si>
    <t>From Home Depot - Electrical MaterialsTape, Pipe Clamp, Gauge and Gloves</t>
  </si>
  <si>
    <t>From Home Depot - Extension Cords And Cable Connectors</t>
  </si>
  <si>
    <t>From Home Depot - Electrical MaterialsConduit Fittings and Clamp Connectors</t>
  </si>
  <si>
    <t>From Home Depot - AC Disconnect Switches And Electrical Rough Materials</t>
  </si>
  <si>
    <t>From Home Depot - Duplex Outlet, Anchors, Screws</t>
  </si>
  <si>
    <t>From Home Depot - LED Light Bulbs Selected Color Temperature</t>
  </si>
  <si>
    <t>From Home Depot - Electrical DevicesSingle and Duplex Outlet and Wall Plate</t>
  </si>
  <si>
    <t>From Home Depot - LED Light Bulb</t>
  </si>
  <si>
    <t>From Home Depot - Electrical MaterialsRange Cord, Outlet, Blade Kit and Tape</t>
  </si>
  <si>
    <t>From Home Depot - Wires, Conduits, Duplex Outlet, Rod</t>
  </si>
  <si>
    <t>From Home Depot - PVC Conduit, Support Rod, Connectors</t>
  </si>
  <si>
    <t>From Home Depot - Circular Saw Blade, Plunger and Brush</t>
  </si>
  <si>
    <t>From Home Depot - Duplex Outlet, GDCI Outlet.</t>
  </si>
  <si>
    <t>From Home Depot - Wire Dryer Cord, Ciruit Breaker, Outlet Cover and Clamp Connector</t>
  </si>
  <si>
    <t>From Home Depot - Light Bulb, Switches &amp; Outlet</t>
  </si>
  <si>
    <t>From Home Depot - Thermostat Wire &amp; Switches</t>
  </si>
  <si>
    <t xml:space="preserve">Pendant Lantern </t>
  </si>
  <si>
    <t>For February 2026</t>
  </si>
  <si>
    <t>Concrete Labor</t>
  </si>
  <si>
    <t>From MD Bowles Construction - Pay App 11</t>
  </si>
  <si>
    <t>EFIS Material</t>
  </si>
  <si>
    <t>From VG Stucco - Pay App 11</t>
  </si>
  <si>
    <t>Guest Room Doors</t>
  </si>
  <si>
    <t>From TKG Construction - Pay App 11</t>
  </si>
  <si>
    <t>Public Area Doors &amp; Other Doors &amp; Caulking</t>
  </si>
  <si>
    <t>Shower Glass Doors</t>
  </si>
  <si>
    <t>FF&amp;E/Delivery/Others</t>
  </si>
  <si>
    <t>Marriott Requirement - 360 Capture Subscription</t>
  </si>
  <si>
    <t>From Openspace</t>
  </si>
  <si>
    <t>Extra Labor Per Discussion - Sai &amp; Aniket</t>
  </si>
  <si>
    <t>From Boulder Construction</t>
  </si>
  <si>
    <t>Exterior Fence</t>
  </si>
  <si>
    <t>Plumbing Material &amp; Labor</t>
  </si>
  <si>
    <t>From MA William Plumbing - Pay App 06</t>
  </si>
  <si>
    <t>From GMC Electrical - Pay App 10 (Split)</t>
  </si>
  <si>
    <t>From Safelife Fire protection - Pay App 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</si>
</sst>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7" formatCode="&quot;$&quot;#,##0.00_);\(&quot;$&quot;#,##0.00\)"/>
    <numFmt numFmtId="164" formatCode="_ * #,##0.00_ ;_ * \-#,##0.00_ ;_ * &quot;-&quot;??_ ;_ @_ "/>
    <numFmt numFmtId="165" formatCode="#,##0_);\(#,##0\);&quot; -    &quot;_);_(@_)"/>
    <numFmt numFmtId="166" formatCode="mm/dd/yy_);mm/dd/yy_);&quot; -    &quot;_);_(@_)"/>
    <numFmt numFmtId="167" formatCode="0.0%_);\(0.0%\);&quot; -    &quot;_);_(@_)"/>
    <numFmt numFmtId="168" formatCode="General_)"/>
    <numFmt numFmtId="169" formatCode="mmmm\,\ dd\,\ yyyy"/>
    <numFmt numFmtId="170" formatCode="#,##0.00_);\(#,##0.00\);&quot; -    &quot;_);_(@_)"/>
    <numFmt numFmtId="171" formatCode="&quot;$&quot;#,##0.00_);\(&quot;$&quot;#,##0.00\);&quot; -    &quot;_);_(@_)"/>
    <numFmt numFmtId="172" formatCode="&quot;$&quot;#,##0.00_);\(&quot;$&quot;#,##0.00\);_(@_)"/>
  </numFmts>
  <fonts count="31" x14ac:knownFonts="1">
    <font>
      <sz val="10"/>
      <color theme="1"/>
      <name val="Trebuchet MS"/>
      <family val="2"/>
    </font>
    <font>
      <sz val="10"/>
      <color rgb="FF0000FF"/>
      <name val="Trebuchet MS"/>
      <family val="2"/>
    </font>
    <font>
      <sz val="10"/>
      <color rgb="FFFF0000"/>
      <name val="Trebuchet MS"/>
      <family val="2"/>
    </font>
    <font>
      <sz val="10"/>
      <name val="Trebuchet MS"/>
      <family val="2"/>
    </font>
    <font>
      <b/>
      <sz val="10"/>
      <color theme="0"/>
      <name val="Trebuchet MS"/>
      <family val="2"/>
    </font>
    <font>
      <sz val="9"/>
      <name val="Times New Roman"/>
      <family val="1"/>
    </font>
    <font>
      <b/>
      <sz val="14"/>
      <color indexed="8"/>
      <name val="Arial"/>
      <family val="2"/>
    </font>
    <font>
      <sz val="9"/>
      <color indexed="8"/>
      <name val="Times New Roman"/>
      <family val="1"/>
    </font>
    <font>
      <i/>
      <sz val="12"/>
      <color indexed="8"/>
      <name val="Times New Roman"/>
      <family val="1"/>
    </font>
    <font>
      <sz val="7"/>
      <color indexed="8"/>
      <name val="Arial"/>
      <family val="2"/>
    </font>
    <font>
      <sz val="8"/>
      <color indexed="8"/>
      <name val="Helv"/>
    </font>
    <font>
      <sz val="10"/>
      <color indexed="8"/>
      <name val="Times New Roman"/>
      <family val="1"/>
    </font>
    <font>
      <sz val="10"/>
      <name val="Tms Rmn"/>
    </font>
    <font>
      <sz val="10"/>
      <name val="Times New Roman"/>
      <family val="1"/>
    </font>
    <font>
      <b/>
      <u/>
      <sz val="10"/>
      <color indexed="8"/>
      <name val="Times New Roman"/>
      <family val="1"/>
    </font>
    <font>
      <sz val="9"/>
      <color indexed="8"/>
      <name val="Tms Rmn"/>
    </font>
    <font>
      <b/>
      <sz val="9"/>
      <color indexed="8"/>
      <name val="Times New Roman"/>
      <family val="1"/>
    </font>
    <font>
      <i/>
      <sz val="9"/>
      <color indexed="8"/>
      <name val="Times New Roman"/>
      <family val="1"/>
    </font>
    <font>
      <sz val="6"/>
      <color indexed="8"/>
      <name val="Helv"/>
    </font>
    <font>
      <b/>
      <sz val="9"/>
      <color indexed="8"/>
      <name val="Arial"/>
      <family val="2"/>
    </font>
    <font>
      <sz val="8"/>
      <color indexed="8"/>
      <name val="Times New Roman"/>
      <family val="1"/>
    </font>
    <font>
      <sz val="6"/>
      <color indexed="8"/>
      <name val="Times New Roman"/>
      <family val="1"/>
    </font>
    <font>
      <sz val="10"/>
      <name val="MS Sans Serif"/>
      <family val="2"/>
    </font>
    <font>
      <b/>
      <sz val="10"/>
      <color indexed="8"/>
      <name val="Times New Roman"/>
      <family val="1"/>
    </font>
    <font>
      <i/>
      <sz val="10"/>
      <color theme="1"/>
      <name val="Trebuchet MS"/>
      <family val="2"/>
    </font>
    <font>
      <b/>
      <sz val="10"/>
      <color theme="1"/>
      <name val="Trebuchet MS"/>
      <family val="2"/>
    </font>
    <font>
      <sz val="9"/>
      <color rgb="FF0000FF"/>
      <name val="Times New Roman"/>
      <family val="1"/>
    </font>
    <font>
      <sz val="9"/>
      <color rgb="FF008000"/>
      <name val="Times New Roman"/>
      <family val="1"/>
    </font>
    <font>
      <sz val="10"/>
      <color rgb="FF008000"/>
      <name val="Times New Roman"/>
      <family val="1"/>
    </font>
    <font>
      <sz val="10"/>
      <color rgb="FF008000"/>
      <name val="Trebuchet MS"/>
      <family val="2"/>
    </font>
    <font>
      <sz val="10"/>
      <color theme="1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rgb="FF4F5D75"/>
        <bgColor rgb="FF000000"/>
      </patternFill>
    </fill>
    <fill>
      <patternFill patternType="solid">
        <fgColor theme="1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6">
    <xf numFmtId="0" fontId="0" fillId="0" borderId="0"/>
    <xf numFmtId="168" fontId="5" fillId="0" borderId="0"/>
    <xf numFmtId="37" fontId="12" fillId="0" borderId="0"/>
    <xf numFmtId="9" fontId="22" fillId="0" borderId="0" applyFont="0" applyFill="0" applyBorder="0" applyAlignment="0" applyProtection="0"/>
    <xf numFmtId="40" fontId="22" fillId="0" borderId="0" applyFont="0" applyFill="0" applyBorder="0" applyAlignment="0" applyProtection="0"/>
    <xf numFmtId="164" fontId="30" fillId="0" borderId="0" applyFont="0" applyFill="0" applyBorder="0" applyAlignment="0" applyProtection="0"/>
  </cellStyleXfs>
  <cellXfs count="168">
    <xf numFmtId="0" fontId="0" fillId="0" borderId="0" xfId="0"/>
    <xf numFmtId="168" fontId="6" fillId="0" borderId="0" xfId="1" applyFont="1" applyAlignment="1">
      <alignment horizontal="left"/>
    </xf>
    <xf numFmtId="168" fontId="7" fillId="0" borderId="0" xfId="1" applyFont="1"/>
    <xf numFmtId="168" fontId="8" fillId="0" borderId="0" xfId="1" applyFont="1"/>
    <xf numFmtId="168" fontId="9" fillId="0" borderId="0" xfId="1" applyFont="1"/>
    <xf numFmtId="168" fontId="9" fillId="0" borderId="0" xfId="1" applyFont="1" applyAlignment="1">
      <alignment horizontal="right"/>
    </xf>
    <xf numFmtId="168" fontId="9" fillId="0" borderId="0" xfId="1" applyFont="1" applyAlignment="1">
      <alignment horizontal="left"/>
    </xf>
    <xf numFmtId="168" fontId="9" fillId="0" borderId="0" xfId="1" applyFont="1" applyProtection="1">
      <protection locked="0"/>
    </xf>
    <xf numFmtId="168" fontId="10" fillId="0" borderId="0" xfId="1" applyFont="1"/>
    <xf numFmtId="168" fontId="7" fillId="0" borderId="4" xfId="1" applyFont="1" applyBorder="1"/>
    <xf numFmtId="168" fontId="11" fillId="0" borderId="0" xfId="1" applyFont="1"/>
    <xf numFmtId="168" fontId="7" fillId="0" borderId="0" xfId="1" applyFont="1" applyAlignment="1">
      <alignment horizontal="left"/>
    </xf>
    <xf numFmtId="168" fontId="7" fillId="0" borderId="0" xfId="1" quotePrefix="1" applyFont="1" applyAlignment="1">
      <alignment horizontal="left"/>
    </xf>
    <xf numFmtId="168" fontId="15" fillId="0" borderId="0" xfId="1" applyFont="1"/>
    <xf numFmtId="168" fontId="7" fillId="0" borderId="0" xfId="1" applyFont="1" applyAlignment="1">
      <alignment horizontal="right"/>
    </xf>
    <xf numFmtId="39" fontId="7" fillId="0" borderId="1" xfId="1" applyNumberFormat="1" applyFont="1" applyBorder="1" applyProtection="1">
      <protection locked="0"/>
    </xf>
    <xf numFmtId="168" fontId="13" fillId="0" borderId="0" xfId="1" applyFont="1" applyAlignment="1">
      <alignment horizontal="left"/>
    </xf>
    <xf numFmtId="39" fontId="7" fillId="0" borderId="1" xfId="1" applyNumberFormat="1" applyFont="1" applyBorder="1"/>
    <xf numFmtId="14" fontId="7" fillId="0" borderId="0" xfId="1" applyNumberFormat="1" applyFont="1" applyAlignment="1">
      <alignment horizontal="left"/>
    </xf>
    <xf numFmtId="168" fontId="7" fillId="0" borderId="1" xfId="1" applyFont="1" applyBorder="1"/>
    <xf numFmtId="168" fontId="7" fillId="0" borderId="1" xfId="1" applyFont="1" applyBorder="1" applyProtection="1">
      <protection locked="0"/>
    </xf>
    <xf numFmtId="37" fontId="7" fillId="0" borderId="1" xfId="1" applyNumberFormat="1" applyFont="1" applyBorder="1" applyProtection="1">
      <protection locked="0"/>
    </xf>
    <xf numFmtId="168" fontId="15" fillId="0" borderId="5" xfId="1" applyFont="1" applyBorder="1"/>
    <xf numFmtId="39" fontId="16" fillId="0" borderId="1" xfId="1" applyNumberFormat="1" applyFont="1" applyBorder="1" applyProtection="1">
      <protection locked="0"/>
    </xf>
    <xf numFmtId="168" fontId="7" fillId="0" borderId="6" xfId="1" applyFont="1" applyBorder="1" applyAlignment="1">
      <alignment horizontal="centerContinuous"/>
    </xf>
    <xf numFmtId="168" fontId="7" fillId="0" borderId="7" xfId="1" applyFont="1" applyBorder="1" applyAlignment="1">
      <alignment horizontal="centerContinuous"/>
    </xf>
    <xf numFmtId="168" fontId="7" fillId="0" borderId="8" xfId="1" applyFont="1" applyBorder="1" applyAlignment="1">
      <alignment horizontal="center"/>
    </xf>
    <xf numFmtId="168" fontId="7" fillId="0" borderId="9" xfId="1" applyFont="1" applyBorder="1" applyAlignment="1" applyProtection="1">
      <alignment horizontal="center"/>
      <protection locked="0"/>
    </xf>
    <xf numFmtId="168" fontId="17" fillId="0" borderId="0" xfId="1" quotePrefix="1" applyFont="1" applyAlignment="1">
      <alignment horizontal="left"/>
    </xf>
    <xf numFmtId="168" fontId="7" fillId="0" borderId="10" xfId="1" applyFont="1" applyBorder="1" applyAlignment="1">
      <alignment horizontal="left"/>
    </xf>
    <xf numFmtId="7" fontId="7" fillId="0" borderId="11" xfId="1" applyNumberFormat="1" applyFont="1" applyBorder="1"/>
    <xf numFmtId="7" fontId="7" fillId="0" borderId="12" xfId="1" applyNumberFormat="1" applyFont="1" applyBorder="1"/>
    <xf numFmtId="168" fontId="17" fillId="0" borderId="0" xfId="1" applyFont="1" applyAlignment="1">
      <alignment horizontal="left"/>
    </xf>
    <xf numFmtId="168" fontId="7" fillId="0" borderId="13" xfId="1" applyFont="1" applyBorder="1" applyAlignment="1">
      <alignment horizontal="left"/>
    </xf>
    <xf numFmtId="7" fontId="7" fillId="0" borderId="14" xfId="1" applyNumberFormat="1" applyFont="1" applyBorder="1" applyProtection="1">
      <protection locked="0"/>
    </xf>
    <xf numFmtId="7" fontId="7" fillId="0" borderId="15" xfId="1" applyNumberFormat="1" applyFont="1" applyBorder="1" applyProtection="1">
      <protection locked="0"/>
    </xf>
    <xf numFmtId="168" fontId="7" fillId="0" borderId="10" xfId="1" applyFont="1" applyBorder="1"/>
    <xf numFmtId="7" fontId="7" fillId="0" borderId="14" xfId="1" applyNumberFormat="1" applyFont="1" applyBorder="1"/>
    <xf numFmtId="7" fontId="7" fillId="0" borderId="15" xfId="1" applyNumberFormat="1" applyFont="1" applyBorder="1"/>
    <xf numFmtId="7" fontId="7" fillId="0" borderId="16" xfId="1" applyNumberFormat="1" applyFont="1" applyBorder="1"/>
    <xf numFmtId="168" fontId="7" fillId="0" borderId="17" xfId="1" applyFont="1" applyBorder="1" applyAlignment="1">
      <alignment horizontal="left"/>
    </xf>
    <xf numFmtId="168" fontId="7" fillId="0" borderId="5" xfId="1" applyFont="1" applyBorder="1"/>
    <xf numFmtId="7" fontId="7" fillId="0" borderId="18" xfId="1" applyNumberFormat="1" applyFont="1" applyBorder="1" applyAlignment="1" applyProtection="1">
      <alignment horizontal="centerContinuous"/>
      <protection locked="0"/>
    </xf>
    <xf numFmtId="7" fontId="7" fillId="0" borderId="19" xfId="1" applyNumberFormat="1" applyFont="1" applyBorder="1" applyAlignment="1" applyProtection="1">
      <alignment horizontal="centerContinuous"/>
      <protection locked="0"/>
    </xf>
    <xf numFmtId="168" fontId="18" fillId="0" borderId="4" xfId="1" applyFont="1" applyBorder="1" applyAlignment="1">
      <alignment horizontal="left"/>
    </xf>
    <xf numFmtId="168" fontId="18" fillId="0" borderId="4" xfId="1" applyFont="1" applyBorder="1"/>
    <xf numFmtId="168" fontId="19" fillId="0" borderId="0" xfId="1" applyFont="1"/>
    <xf numFmtId="168" fontId="18" fillId="0" borderId="0" xfId="1" applyFont="1"/>
    <xf numFmtId="171" fontId="7" fillId="0" borderId="1" xfId="1" applyNumberFormat="1" applyFont="1" applyBorder="1"/>
    <xf numFmtId="0" fontId="24" fillId="0" borderId="0" xfId="0" applyFont="1"/>
    <xf numFmtId="0" fontId="25" fillId="0" borderId="0" xfId="0" applyFont="1"/>
    <xf numFmtId="0" fontId="25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1" fillId="0" borderId="3" xfId="0" applyFont="1" applyBorder="1" applyAlignment="1">
      <alignment horizontal="center"/>
    </xf>
    <xf numFmtId="166" fontId="1" fillId="0" borderId="3" xfId="0" applyNumberFormat="1" applyFont="1" applyBorder="1" applyAlignment="1">
      <alignment horizontal="center"/>
    </xf>
    <xf numFmtId="0" fontId="4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172" fontId="0" fillId="0" borderId="2" xfId="0" applyNumberFormat="1" applyBorder="1" applyAlignment="1">
      <alignment horizontal="center" vertical="center"/>
    </xf>
    <xf numFmtId="0" fontId="0" fillId="3" borderId="21" xfId="0" applyFill="1" applyBorder="1"/>
    <xf numFmtId="0" fontId="4" fillId="3" borderId="20" xfId="0" applyFont="1" applyFill="1" applyBorder="1" applyAlignment="1">
      <alignment vertical="center"/>
    </xf>
    <xf numFmtId="172" fontId="4" fillId="3" borderId="21" xfId="0" applyNumberFormat="1" applyFont="1" applyFill="1" applyBorder="1" applyAlignment="1">
      <alignment horizontal="center"/>
    </xf>
    <xf numFmtId="168" fontId="11" fillId="0" borderId="0" xfId="1" applyFont="1" applyAlignment="1">
      <alignment horizontal="left"/>
    </xf>
    <xf numFmtId="168" fontId="11" fillId="0" borderId="0" xfId="1" applyFont="1" applyAlignment="1">
      <alignment horizontal="right"/>
    </xf>
    <xf numFmtId="168" fontId="11" fillId="0" borderId="0" xfId="1" applyFont="1" applyProtection="1">
      <protection locked="0"/>
    </xf>
    <xf numFmtId="168" fontId="11" fillId="0" borderId="0" xfId="1" applyFont="1" applyAlignment="1" applyProtection="1">
      <alignment horizontal="left"/>
      <protection locked="0"/>
    </xf>
    <xf numFmtId="168" fontId="11" fillId="0" borderId="3" xfId="1" applyFont="1" applyBorder="1" applyAlignment="1" applyProtection="1">
      <alignment horizontal="center"/>
      <protection locked="0"/>
    </xf>
    <xf numFmtId="168" fontId="11" fillId="0" borderId="0" xfId="1" applyFont="1" applyAlignment="1">
      <alignment horizontal="center"/>
    </xf>
    <xf numFmtId="168" fontId="5" fillId="0" borderId="0" xfId="1"/>
    <xf numFmtId="168" fontId="13" fillId="0" borderId="0" xfId="1" applyFont="1"/>
    <xf numFmtId="168" fontId="14" fillId="0" borderId="0" xfId="1" applyFont="1"/>
    <xf numFmtId="168" fontId="7" fillId="0" borderId="0" xfId="1" applyFont="1" applyProtection="1">
      <protection locked="0"/>
    </xf>
    <xf numFmtId="37" fontId="16" fillId="0" borderId="5" xfId="2" applyFont="1" applyBorder="1" applyAlignment="1">
      <alignment horizontal="left"/>
    </xf>
    <xf numFmtId="37" fontId="11" fillId="0" borderId="5" xfId="2" applyFont="1" applyBorder="1"/>
    <xf numFmtId="37" fontId="8" fillId="0" borderId="5" xfId="2" applyFont="1" applyBorder="1" applyAlignment="1">
      <alignment horizontal="left"/>
    </xf>
    <xf numFmtId="37" fontId="20" fillId="0" borderId="5" xfId="2" applyFont="1" applyBorder="1" applyAlignment="1">
      <alignment horizontal="left"/>
    </xf>
    <xf numFmtId="37" fontId="21" fillId="0" borderId="5" xfId="2" applyFont="1" applyBorder="1" applyAlignment="1" applyProtection="1">
      <alignment horizontal="left"/>
      <protection locked="0"/>
    </xf>
    <xf numFmtId="37" fontId="21" fillId="0" borderId="5" xfId="2" applyFont="1" applyBorder="1"/>
    <xf numFmtId="37" fontId="11" fillId="0" borderId="0" xfId="2" applyFont="1"/>
    <xf numFmtId="37" fontId="7" fillId="0" borderId="0" xfId="2" applyFont="1" applyAlignment="1">
      <alignment horizontal="left"/>
    </xf>
    <xf numFmtId="37" fontId="11" fillId="0" borderId="0" xfId="2" applyFont="1" applyAlignment="1">
      <alignment horizontal="right"/>
    </xf>
    <xf numFmtId="37" fontId="11" fillId="0" borderId="0" xfId="2" applyFont="1" applyProtection="1">
      <protection locked="0"/>
    </xf>
    <xf numFmtId="14" fontId="5" fillId="0" borderId="0" xfId="2" applyNumberFormat="1" applyFont="1" applyAlignment="1" applyProtection="1">
      <alignment horizontal="right"/>
      <protection locked="0"/>
    </xf>
    <xf numFmtId="0" fontId="11" fillId="0" borderId="0" xfId="2" quotePrefix="1" applyNumberFormat="1" applyFont="1" applyAlignment="1" applyProtection="1">
      <alignment horizontal="right"/>
      <protection locked="0"/>
    </xf>
    <xf numFmtId="37" fontId="7" fillId="0" borderId="20" xfId="2" applyFont="1" applyBorder="1" applyAlignment="1">
      <alignment horizontal="center"/>
    </xf>
    <xf numFmtId="37" fontId="20" fillId="0" borderId="20" xfId="2" applyFont="1" applyBorder="1" applyAlignment="1">
      <alignment horizontal="center"/>
    </xf>
    <xf numFmtId="37" fontId="20" fillId="0" borderId="20" xfId="2" applyFont="1" applyBorder="1" applyAlignment="1">
      <alignment horizontal="centerContinuous"/>
    </xf>
    <xf numFmtId="37" fontId="20" fillId="0" borderId="21" xfId="2" applyFont="1" applyBorder="1" applyAlignment="1">
      <alignment horizontal="centerContinuous"/>
    </xf>
    <xf numFmtId="37" fontId="20" fillId="0" borderId="3" xfId="2" applyFont="1" applyBorder="1" applyAlignment="1">
      <alignment horizontal="center"/>
    </xf>
    <xf numFmtId="37" fontId="7" fillId="0" borderId="11" xfId="2" applyFont="1" applyBorder="1" applyAlignment="1">
      <alignment horizontal="center"/>
    </xf>
    <xf numFmtId="37" fontId="20" fillId="0" borderId="11" xfId="2" applyFont="1" applyBorder="1" applyAlignment="1">
      <alignment horizontal="center"/>
    </xf>
    <xf numFmtId="37" fontId="20" fillId="0" borderId="14" xfId="2" applyFont="1" applyBorder="1" applyAlignment="1">
      <alignment horizontal="centerContinuous"/>
    </xf>
    <xf numFmtId="37" fontId="20" fillId="0" borderId="1" xfId="2" applyFont="1" applyBorder="1" applyAlignment="1">
      <alignment horizontal="centerContinuous"/>
    </xf>
    <xf numFmtId="37" fontId="20" fillId="0" borderId="11" xfId="2" applyFont="1" applyBorder="1" applyAlignment="1">
      <alignment horizontal="centerContinuous"/>
    </xf>
    <xf numFmtId="37" fontId="20" fillId="0" borderId="22" xfId="2" applyFont="1" applyBorder="1" applyAlignment="1">
      <alignment horizontal="center"/>
    </xf>
    <xf numFmtId="37" fontId="7" fillId="0" borderId="11" xfId="2" quotePrefix="1" applyFont="1" applyBorder="1" applyAlignment="1">
      <alignment horizontal="center"/>
    </xf>
    <xf numFmtId="37" fontId="20" fillId="0" borderId="11" xfId="2" applyFont="1" applyBorder="1"/>
    <xf numFmtId="37" fontId="20" fillId="0" borderId="22" xfId="2" quotePrefix="1" applyFont="1" applyBorder="1" applyAlignment="1">
      <alignment horizontal="center"/>
    </xf>
    <xf numFmtId="37" fontId="7" fillId="0" borderId="11" xfId="2" applyFont="1" applyBorder="1"/>
    <xf numFmtId="37" fontId="7" fillId="0" borderId="14" xfId="2" applyFont="1" applyBorder="1"/>
    <xf numFmtId="37" fontId="20" fillId="0" borderId="14" xfId="2" applyFont="1" applyBorder="1"/>
    <xf numFmtId="37" fontId="20" fillId="0" borderId="14" xfId="2" applyFont="1" applyBorder="1" applyAlignment="1">
      <alignment horizontal="center"/>
    </xf>
    <xf numFmtId="37" fontId="20" fillId="0" borderId="23" xfId="2" applyFont="1" applyBorder="1"/>
    <xf numFmtId="37" fontId="16" fillId="0" borderId="3" xfId="2" applyFont="1" applyBorder="1" applyProtection="1">
      <protection locked="0"/>
    </xf>
    <xf numFmtId="37" fontId="7" fillId="0" borderId="3" xfId="2" applyFont="1" applyBorder="1" applyProtection="1">
      <protection locked="0"/>
    </xf>
    <xf numFmtId="170" fontId="7" fillId="0" borderId="3" xfId="2" applyNumberFormat="1" applyFont="1" applyBorder="1" applyAlignment="1" applyProtection="1">
      <alignment horizontal="right"/>
      <protection locked="0"/>
    </xf>
    <xf numFmtId="170" fontId="7" fillId="0" borderId="3" xfId="2" applyNumberFormat="1" applyFont="1" applyBorder="1"/>
    <xf numFmtId="167" fontId="7" fillId="0" borderId="3" xfId="3" applyNumberFormat="1" applyFont="1" applyFill="1" applyBorder="1" applyAlignment="1" applyProtection="1">
      <alignment horizontal="right"/>
    </xf>
    <xf numFmtId="167" fontId="7" fillId="0" borderId="3" xfId="2" applyNumberFormat="1" applyFont="1" applyBorder="1" applyAlignment="1">
      <alignment horizontal="right"/>
    </xf>
    <xf numFmtId="1" fontId="5" fillId="0" borderId="0" xfId="1" applyNumberFormat="1"/>
    <xf numFmtId="170" fontId="7" fillId="0" borderId="3" xfId="2" applyNumberFormat="1" applyFont="1" applyBorder="1" applyProtection="1">
      <protection locked="0"/>
    </xf>
    <xf numFmtId="37" fontId="7" fillId="0" borderId="3" xfId="2" applyFont="1" applyBorder="1"/>
    <xf numFmtId="37" fontId="23" fillId="0" borderId="3" xfId="2" applyFont="1" applyBorder="1" applyAlignment="1">
      <alignment horizontal="left"/>
    </xf>
    <xf numFmtId="171" fontId="16" fillId="0" borderId="3" xfId="2" applyNumberFormat="1" applyFont="1" applyBorder="1"/>
    <xf numFmtId="167" fontId="16" fillId="0" borderId="3" xfId="2" applyNumberFormat="1" applyFont="1" applyBorder="1"/>
    <xf numFmtId="37" fontId="16" fillId="0" borderId="0" xfId="2" applyFont="1" applyAlignment="1">
      <alignment horizontal="centerContinuous"/>
    </xf>
    <xf numFmtId="37" fontId="21" fillId="0" borderId="0" xfId="2" applyFont="1" applyAlignment="1">
      <alignment horizontal="centerContinuous"/>
    </xf>
    <xf numFmtId="37" fontId="11" fillId="0" borderId="0" xfId="2" applyFont="1" applyAlignment="1">
      <alignment horizontal="centerContinuous"/>
    </xf>
    <xf numFmtId="10" fontId="11" fillId="0" borderId="0" xfId="2" applyNumberFormat="1" applyFont="1" applyAlignment="1">
      <alignment horizontal="centerContinuous"/>
    </xf>
    <xf numFmtId="37" fontId="7" fillId="0" borderId="0" xfId="2" applyFont="1"/>
    <xf numFmtId="168" fontId="23" fillId="0" borderId="0" xfId="1" applyFont="1" applyAlignment="1">
      <alignment horizontal="left"/>
    </xf>
    <xf numFmtId="168" fontId="23" fillId="0" borderId="0" xfId="1" applyFont="1"/>
    <xf numFmtId="168" fontId="11" fillId="0" borderId="0" xfId="1" applyFont="1" applyAlignment="1" applyProtection="1">
      <alignment horizontal="center"/>
      <protection locked="0"/>
    </xf>
    <xf numFmtId="165" fontId="1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172" fontId="1" fillId="0" borderId="0" xfId="0" applyNumberFormat="1" applyFont="1" applyAlignment="1">
      <alignment horizontal="center" vertical="center"/>
    </xf>
    <xf numFmtId="172" fontId="3" fillId="0" borderId="0" xfId="0" applyNumberFormat="1" applyFont="1" applyAlignment="1">
      <alignment horizontal="center" vertical="center"/>
    </xf>
    <xf numFmtId="172" fontId="2" fillId="0" borderId="0" xfId="0" applyNumberFormat="1" applyFont="1" applyAlignment="1">
      <alignment horizontal="center" vertical="center"/>
    </xf>
    <xf numFmtId="168" fontId="5" fillId="0" borderId="0" xfId="1" quotePrefix="1" applyProtection="1">
      <protection locked="0"/>
    </xf>
    <xf numFmtId="169" fontId="5" fillId="0" borderId="0" xfId="2" applyNumberFormat="1" applyFont="1" applyAlignment="1" applyProtection="1">
      <alignment horizontal="right"/>
      <protection locked="0"/>
    </xf>
    <xf numFmtId="0" fontId="0" fillId="0" borderId="1" xfId="0" applyBorder="1" applyAlignment="1">
      <alignment horizontal="center"/>
    </xf>
    <xf numFmtId="165" fontId="1" fillId="0" borderId="0" xfId="0" applyNumberFormat="1" applyFont="1" applyAlignment="1">
      <alignment horizontal="center"/>
    </xf>
    <xf numFmtId="14" fontId="27" fillId="0" borderId="0" xfId="2" applyNumberFormat="1" applyFont="1" applyAlignment="1" applyProtection="1">
      <alignment horizontal="right"/>
      <protection locked="0"/>
    </xf>
    <xf numFmtId="165" fontId="28" fillId="0" borderId="0" xfId="2" applyNumberFormat="1" applyFont="1" applyProtection="1">
      <protection locked="0"/>
    </xf>
    <xf numFmtId="170" fontId="26" fillId="0" borderId="3" xfId="2" applyNumberFormat="1" applyFont="1" applyBorder="1" applyAlignment="1" applyProtection="1">
      <alignment horizontal="right"/>
      <protection locked="0"/>
    </xf>
    <xf numFmtId="0" fontId="0" fillId="0" borderId="20" xfId="0" applyBorder="1"/>
    <xf numFmtId="0" fontId="0" fillId="0" borderId="21" xfId="0" applyBorder="1"/>
    <xf numFmtId="0" fontId="0" fillId="0" borderId="24" xfId="0" applyBorder="1"/>
    <xf numFmtId="170" fontId="27" fillId="0" borderId="3" xfId="2" applyNumberFormat="1" applyFont="1" applyBorder="1" applyAlignment="1" applyProtection="1">
      <alignment horizontal="right"/>
      <protection locked="0"/>
    </xf>
    <xf numFmtId="168" fontId="26" fillId="0" borderId="0" xfId="1" quotePrefix="1" applyFont="1" applyProtection="1">
      <protection locked="0"/>
    </xf>
    <xf numFmtId="171" fontId="26" fillId="0" borderId="1" xfId="1" applyNumberFormat="1" applyFont="1" applyBorder="1" applyProtection="1">
      <protection locked="0"/>
    </xf>
    <xf numFmtId="171" fontId="27" fillId="0" borderId="1" xfId="1" applyNumberFormat="1" applyFont="1" applyBorder="1" applyProtection="1">
      <protection locked="0"/>
    </xf>
    <xf numFmtId="40" fontId="27" fillId="0" borderId="1" xfId="1" applyNumberFormat="1" applyFont="1" applyBorder="1" applyProtection="1">
      <protection locked="0"/>
    </xf>
    <xf numFmtId="39" fontId="27" fillId="0" borderId="1" xfId="1" applyNumberFormat="1" applyFont="1" applyBorder="1" applyProtection="1">
      <protection locked="0"/>
    </xf>
    <xf numFmtId="0" fontId="29" fillId="0" borderId="3" xfId="0" applyFont="1" applyBorder="1" applyAlignment="1">
      <alignment horizontal="center"/>
    </xf>
    <xf numFmtId="0" fontId="29" fillId="0" borderId="3" xfId="0" applyFont="1" applyBorder="1" applyAlignment="1" applyProtection="1">
      <alignment horizontal="center"/>
      <protection locked="0"/>
    </xf>
    <xf numFmtId="0" fontId="3" fillId="0" borderId="0" xfId="0" applyFont="1" applyAlignment="1">
      <alignment vertical="center"/>
    </xf>
    <xf numFmtId="165" fontId="1" fillId="0" borderId="25" xfId="0" applyNumberFormat="1" applyFont="1" applyBorder="1" applyAlignment="1">
      <alignment horizontal="center" vertical="center"/>
    </xf>
    <xf numFmtId="0" fontId="0" fillId="0" borderId="25" xfId="0" applyBorder="1" applyAlignment="1">
      <alignment vertical="center"/>
    </xf>
    <xf numFmtId="172" fontId="1" fillId="0" borderId="25" xfId="0" applyNumberFormat="1" applyFont="1" applyBorder="1" applyAlignment="1">
      <alignment horizontal="center" vertical="center"/>
    </xf>
    <xf numFmtId="172" fontId="3" fillId="0" borderId="25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/>
    <xf numFmtId="164" fontId="11" fillId="0" borderId="0" xfId="5" applyFont="1"/>
    <xf numFmtId="0" fontId="2" fillId="0" borderId="0" xfId="0" applyFont="1" applyAlignment="1">
      <alignment horizontal="center"/>
    </xf>
    <xf numFmtId="165" fontId="2" fillId="0" borderId="25" xfId="0" applyNumberFormat="1" applyFont="1" applyBorder="1" applyAlignment="1">
      <alignment horizontal="center" vertical="center"/>
    </xf>
    <xf numFmtId="0" fontId="2" fillId="0" borderId="25" xfId="0" applyFont="1" applyBorder="1" applyAlignment="1">
      <alignment vertical="center"/>
    </xf>
    <xf numFmtId="172" fontId="2" fillId="0" borderId="25" xfId="0" applyNumberFormat="1" applyFont="1" applyBorder="1" applyAlignment="1">
      <alignment horizontal="center" vertical="center"/>
    </xf>
    <xf numFmtId="165" fontId="1" fillId="0" borderId="26" xfId="0" applyNumberFormat="1" applyFont="1" applyBorder="1" applyAlignment="1">
      <alignment horizontal="center"/>
    </xf>
    <xf numFmtId="165" fontId="1" fillId="0" borderId="26" xfId="0" applyNumberFormat="1" applyFont="1" applyBorder="1" applyAlignment="1">
      <alignment horizontal="center" vertical="center"/>
    </xf>
    <xf numFmtId="0" fontId="0" fillId="0" borderId="26" xfId="0" applyBorder="1" applyAlignment="1">
      <alignment vertical="center"/>
    </xf>
    <xf numFmtId="172" fontId="1" fillId="0" borderId="26" xfId="0" applyNumberFormat="1" applyFont="1" applyBorder="1" applyAlignment="1">
      <alignment horizontal="center" vertical="center"/>
    </xf>
    <xf numFmtId="172" fontId="3" fillId="0" borderId="26" xfId="0" applyNumberFormat="1" applyFont="1" applyBorder="1" applyAlignment="1">
      <alignment horizontal="center" vertical="center"/>
    </xf>
    <xf numFmtId="166" fontId="26" fillId="0" borderId="0" xfId="0" applyNumberFormat="1" applyFont="1" applyAlignment="1">
      <alignment horizontal="right"/>
    </xf>
  </cellXfs>
  <cellStyles count="6">
    <cellStyle name="Comma" xfId="5" builtinId="3"/>
    <cellStyle name="Comma 2" xfId="4" xr:uid="{69A3B84B-5778-46A0-B9FC-607F020A4ECB}"/>
    <cellStyle name="Normal" xfId="0" builtinId="0"/>
    <cellStyle name="Normal 2" xfId="1" xr:uid="{5F8698B3-341A-49B6-9E70-8F517C59B859}"/>
    <cellStyle name="Normal_G703" xfId="2" xr:uid="{958D77F9-16D5-4517-A7B4-35D35A7B91B7}"/>
    <cellStyle name="Percent 2" xfId="3" xr:uid="{05E5C6BF-23D0-49F7-8A45-74607C542AA8}"/>
  </cellStyles>
  <dxfs count="6">
    <dxf>
      <font>
        <color auto="1"/>
      </font>
    </dxf>
    <dxf>
      <font>
        <color auto="1"/>
      </font>
    </dxf>
    <dxf>
      <font>
        <color auto="1"/>
      </font>
    </dxf>
    <dxf>
      <font>
        <color theme="1"/>
      </font>
    </dxf>
    <dxf>
      <font>
        <color auto="1"/>
      </font>
    </dxf>
    <dxf>
      <font>
        <color theme="1"/>
      </font>
    </dxf>
  </dxfs>
  <tableStyles count="0" defaultTableStyle="TableStyleMedium2" defaultPivotStyle="PivotStyleLight16"/>
  <colors>
    <mruColors>
      <color rgb="FF0000FF"/>
      <color rgb="FF163967"/>
      <color rgb="FFF4AF90"/>
      <color rgb="FFEE7E4C"/>
      <color rgb="FF4F5D75"/>
      <color rgb="FFE3E3E3"/>
      <color rgb="FFFF9966"/>
      <color rgb="FFBFC0C0"/>
      <color rgb="FFF0F0F0"/>
      <color rgb="FF2D314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142875</xdr:colOff>
      <xdr:row>1</xdr:row>
      <xdr:rowOff>103982</xdr:rowOff>
    </xdr:from>
    <xdr:to>
      <xdr:col>5</xdr:col>
      <xdr:colOff>951206</xdr:colOff>
      <xdr:row>4</xdr:row>
      <xdr:rowOff>126871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F837E9-CE02-4C04-A7DF-96EC2C348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2906" y="294482"/>
          <a:ext cx="1903706" cy="594389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ahil Jain" id="{01CB3936-8880-4976-A4D6-E62FC9B56EE8}" userId="S::sahil@boulderconstruction.com::bbab8147-7ba9-4344-be78-f85f8baaeca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1109" dT="2025-09-01T19:13:58.44" personId="{01CB3936-8880-4976-A4D6-E62FC9B56EE8}" id="{2A428B97-21B7-49AD-A089-A657C51FE98D}">
    <text>Pay App needs to be revised upward by $500 before Docusign. Actual Retainage Amount for Past Draw is $34,335 instead of $33,835.</text>
  </threadedComment>
  <threadedComment ref="J1169" dT="2025-09-01T19:14:46.40" personId="{01CB3936-8880-4976-A4D6-E62FC9B56EE8}" id="{8DBA193F-565F-46D9-8A73-FC3FB5D4D16A}">
    <text>Need to get Pay App from the Sub-Contractor</text>
  </threadedComment>
  <threadedComment ref="J1176" dT="2025-09-01T19:13:58.44" personId="{01CB3936-8880-4976-A4D6-E62FC9B56EE8}" id="{91C8ECCD-C3DD-4557-A6C9-C60EA441F55A}">
    <text>Pay App needs to be revised upward by $500 before Docusign. Actual Retainage Amount for Past Draw is $34,335 instead of $33,835.</text>
  </threadedComment>
  <threadedComment ref="J1178" dT="2025-09-01T19:13:58.44" personId="{01CB3936-8880-4976-A4D6-E62FC9B56EE8}" id="{DCB90611-32DE-41FF-AF40-26D0482C457E}">
    <text>Pay App needs to be revised upward by $500 before Docusign. Actual Retainage Amount for Past Draw is $34,335 instead of $33,835.</text>
  </threadedComment>
  <threadedComment ref="J1179" dT="2025-09-01T19:14:22.37" personId="{01CB3936-8880-4976-A4D6-E62FC9B56EE8}" id="{28817ABC-35B5-4E59-B2DA-E7DD4E05C61F}">
    <text>Pay App needs to be revised upward by $3,000 before Docusign. Actual Gross Amount for Past Draw is $80,848 instead of $70,848.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DF75C-75B9-4564-9E6C-D31A5508E09E}">
  <sheetPr>
    <pageSetUpPr fitToPage="1"/>
  </sheetPr>
  <dimension ref="A1:P56"/>
  <sheetViews>
    <sheetView showGridLines="0" tabSelected="1" view="pageBreakPreview" zoomScaleNormal="100" zoomScaleSheetLayoutView="100" workbookViewId="0"/>
  </sheetViews>
  <sheetFormatPr defaultColWidth="8.42578125" defaultRowHeight="12" x14ac:dyDescent="0.2"/>
  <cols>
    <col min="1" max="1" width="5" style="2" customWidth="1"/>
    <col min="2" max="2" width="6.42578125" style="2" customWidth="1"/>
    <col min="3" max="3" width="24.5703125" style="2" customWidth="1"/>
    <col min="4" max="4" width="18" style="2" customWidth="1"/>
    <col min="5" max="5" width="14.42578125" style="2" customWidth="1"/>
    <col min="6" max="6" width="5.5703125" style="2" customWidth="1"/>
    <col min="7" max="7" width="3.140625" style="2" customWidth="1"/>
    <col min="8" max="8" width="17.28515625" style="2" bestFit="1" customWidth="1"/>
    <col min="9" max="9" width="11.5703125" style="2" customWidth="1"/>
    <col min="10" max="10" width="12" style="2" customWidth="1"/>
    <col min="11" max="11" width="4.85546875" style="2" customWidth="1"/>
    <col min="12" max="12" width="2.42578125" style="2" customWidth="1"/>
    <col min="13" max="13" width="3.28515625" style="2" customWidth="1"/>
    <col min="14" max="14" width="19.28515625" style="2" customWidth="1"/>
    <col min="15" max="16384" width="8.42578125" style="2"/>
  </cols>
  <sheetData>
    <row r="1" spans="1:16" ht="19.5" thickBot="1" x14ac:dyDescent="0.35">
      <c r="A1" s="1" t="s">
        <v>7</v>
      </c>
      <c r="G1" s="3" t="s">
        <v>8</v>
      </c>
      <c r="I1" s="4"/>
      <c r="J1" s="5"/>
      <c r="L1" s="6"/>
      <c r="M1" s="7"/>
      <c r="N1" s="6"/>
      <c r="P1" s="52" t="s">
        <v>211</v>
      </c>
    </row>
    <row r="2" spans="1:16" ht="6" customHeight="1" x14ac:dyDescent="0.2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pans="1:16" ht="15" x14ac:dyDescent="0.3">
      <c r="A3" s="124" t="s">
        <v>212</v>
      </c>
      <c r="B3" s="10"/>
      <c r="D3" s="124" t="s">
        <v>9</v>
      </c>
      <c r="F3" s="68"/>
      <c r="G3" s="68"/>
      <c r="H3" s="124" t="s">
        <v>10</v>
      </c>
      <c r="I3" s="143">
        <v>17</v>
      </c>
      <c r="J3" s="68"/>
      <c r="K3" s="66" t="s">
        <v>11</v>
      </c>
      <c r="L3" s="10"/>
      <c r="M3" s="10"/>
      <c r="N3" s="10"/>
      <c r="P3" s="54">
        <v>0</v>
      </c>
    </row>
    <row r="4" spans="1:16" ht="3" customHeight="1" x14ac:dyDescent="0.2">
      <c r="A4" s="66"/>
      <c r="B4" s="10"/>
      <c r="C4" s="16"/>
      <c r="D4" s="67"/>
      <c r="F4" s="68"/>
      <c r="G4" s="68"/>
      <c r="H4" s="124"/>
      <c r="I4" s="132"/>
      <c r="J4" s="68"/>
      <c r="K4" s="66"/>
      <c r="L4" s="10"/>
      <c r="M4" s="10"/>
      <c r="N4" s="10"/>
    </row>
    <row r="5" spans="1:16" ht="12.75" x14ac:dyDescent="0.2">
      <c r="A5" s="16" t="s">
        <v>127</v>
      </c>
      <c r="B5" s="10"/>
      <c r="C5" s="16"/>
      <c r="D5" s="10" t="s">
        <v>215</v>
      </c>
      <c r="F5" s="68"/>
      <c r="G5" s="68"/>
      <c r="H5" s="124" t="s">
        <v>14</v>
      </c>
      <c r="I5" s="167">
        <v>46086</v>
      </c>
      <c r="J5" s="68"/>
      <c r="K5" s="70" t="s">
        <v>15</v>
      </c>
      <c r="L5" s="66" t="s">
        <v>12</v>
      </c>
      <c r="M5" s="10"/>
      <c r="N5" s="10"/>
    </row>
    <row r="6" spans="1:16" ht="2.1" customHeight="1" x14ac:dyDescent="0.2">
      <c r="A6" s="10"/>
      <c r="B6" s="10"/>
      <c r="C6" s="16"/>
      <c r="D6" s="69"/>
      <c r="E6" s="10"/>
      <c r="F6" s="10"/>
      <c r="G6" s="10"/>
      <c r="H6" s="125"/>
      <c r="I6" s="72"/>
      <c r="J6" s="10"/>
      <c r="K6" s="71"/>
      <c r="L6" s="10"/>
      <c r="M6" s="10"/>
      <c r="N6" s="10"/>
    </row>
    <row r="7" spans="1:16" ht="12.75" x14ac:dyDescent="0.2">
      <c r="A7" s="10"/>
      <c r="B7" s="68"/>
      <c r="C7" s="16"/>
      <c r="D7" s="68" t="s">
        <v>214</v>
      </c>
      <c r="F7" s="68"/>
      <c r="G7" s="68"/>
      <c r="H7" s="124" t="s">
        <v>19</v>
      </c>
      <c r="I7" s="133">
        <v>45461</v>
      </c>
      <c r="J7" s="10"/>
      <c r="K7" s="70"/>
      <c r="L7" s="66" t="s">
        <v>13</v>
      </c>
      <c r="M7" s="10"/>
      <c r="N7" s="10"/>
    </row>
    <row r="8" spans="1:16" ht="2.1" customHeight="1" x14ac:dyDescent="0.2">
      <c r="A8" s="10"/>
      <c r="B8" s="10"/>
      <c r="C8" s="10"/>
      <c r="D8" s="67"/>
      <c r="E8" s="10"/>
      <c r="F8" s="10"/>
      <c r="G8" s="10"/>
      <c r="H8" s="10"/>
      <c r="J8" s="10"/>
      <c r="K8" s="71"/>
      <c r="L8" s="10"/>
      <c r="M8" s="10"/>
      <c r="N8" s="10"/>
    </row>
    <row r="9" spans="1:16" ht="12.75" x14ac:dyDescent="0.2">
      <c r="A9" s="10"/>
      <c r="B9" s="68"/>
      <c r="C9" s="68"/>
      <c r="D9" s="67"/>
      <c r="E9" s="10"/>
      <c r="F9" s="10"/>
      <c r="G9" s="10"/>
      <c r="J9" s="68"/>
      <c r="K9" s="70"/>
      <c r="L9" s="66" t="s">
        <v>16</v>
      </c>
      <c r="M9" s="10"/>
      <c r="N9" s="10"/>
    </row>
    <row r="10" spans="1:16" ht="2.1" customHeight="1" x14ac:dyDescent="0.2">
      <c r="A10" s="10"/>
      <c r="B10" s="10"/>
      <c r="C10" s="10"/>
      <c r="D10" s="67"/>
      <c r="E10" s="10"/>
      <c r="F10" s="10"/>
      <c r="G10" s="10"/>
      <c r="H10" s="10"/>
      <c r="J10" s="10"/>
      <c r="K10" s="71"/>
      <c r="L10" s="10"/>
      <c r="M10" s="10"/>
      <c r="N10" s="10"/>
    </row>
    <row r="11" spans="1:16" ht="12.75" x14ac:dyDescent="0.2">
      <c r="A11" s="124" t="s">
        <v>213</v>
      </c>
      <c r="B11" s="10"/>
      <c r="C11" s="10"/>
      <c r="D11" s="124" t="s">
        <v>17</v>
      </c>
      <c r="E11" s="68"/>
      <c r="F11" s="68"/>
      <c r="G11" s="68"/>
      <c r="H11" s="10"/>
      <c r="J11" s="10"/>
      <c r="K11" s="126"/>
      <c r="L11" s="68"/>
      <c r="M11" s="68"/>
      <c r="N11" s="10"/>
    </row>
    <row r="12" spans="1:16" ht="2.1" customHeight="1" x14ac:dyDescent="0.2">
      <c r="A12" s="10"/>
      <c r="B12" s="10"/>
      <c r="C12" s="10"/>
      <c r="D12" s="66"/>
      <c r="E12" s="10"/>
      <c r="F12" s="10"/>
      <c r="G12" s="10"/>
      <c r="H12" s="10"/>
      <c r="J12" s="10"/>
      <c r="K12" s="71"/>
      <c r="L12" s="10"/>
      <c r="M12" s="10"/>
      <c r="N12" s="10"/>
    </row>
    <row r="13" spans="1:16" ht="12.75" x14ac:dyDescent="0.2">
      <c r="A13" s="16" t="s">
        <v>126</v>
      </c>
      <c r="D13" s="69" t="s">
        <v>128</v>
      </c>
      <c r="F13" s="68"/>
      <c r="G13" s="68"/>
      <c r="H13" s="66"/>
      <c r="J13" s="10"/>
      <c r="K13" s="126"/>
      <c r="L13" s="68"/>
      <c r="M13" s="68"/>
      <c r="N13" s="68"/>
    </row>
    <row r="14" spans="1:16" ht="2.1" customHeight="1" x14ac:dyDescent="0.2">
      <c r="A14" s="10"/>
      <c r="B14" s="10"/>
      <c r="C14" s="10"/>
      <c r="D14" s="10"/>
      <c r="E14" s="10"/>
      <c r="F14" s="10"/>
      <c r="G14" s="10"/>
      <c r="H14" s="66"/>
      <c r="J14" s="10"/>
      <c r="K14" s="72"/>
      <c r="L14" s="72"/>
      <c r="M14" s="72"/>
      <c r="N14" s="10"/>
    </row>
    <row r="15" spans="1:16" ht="12.75" x14ac:dyDescent="0.2">
      <c r="A15" s="10"/>
      <c r="B15" s="68"/>
      <c r="C15" s="16"/>
      <c r="D15" s="73"/>
      <c r="F15" s="10"/>
      <c r="G15" s="10"/>
      <c r="H15" s="66"/>
      <c r="J15" s="68"/>
      <c r="K15" s="72"/>
      <c r="L15" s="72"/>
      <c r="M15" s="72"/>
      <c r="N15" s="68"/>
    </row>
    <row r="16" spans="1:16" ht="12.75" x14ac:dyDescent="0.2">
      <c r="A16" s="10"/>
      <c r="B16" s="68"/>
      <c r="C16" s="16"/>
      <c r="D16" s="73"/>
      <c r="E16" s="10"/>
      <c r="F16" s="10"/>
      <c r="G16" s="10"/>
      <c r="H16" s="10"/>
      <c r="J16" s="10"/>
      <c r="K16" s="74"/>
      <c r="L16" s="10"/>
      <c r="M16" s="10"/>
      <c r="N16" s="10"/>
    </row>
    <row r="17" spans="1:14" ht="13.5" thickBot="1" x14ac:dyDescent="0.25">
      <c r="A17" s="66" t="s">
        <v>18</v>
      </c>
      <c r="B17" s="10"/>
      <c r="C17" s="10"/>
      <c r="D17" s="75"/>
      <c r="E17" s="68"/>
      <c r="F17" s="68"/>
      <c r="G17" s="10"/>
      <c r="J17" s="68"/>
      <c r="K17" s="10"/>
      <c r="L17" s="10"/>
      <c r="M17" s="10"/>
      <c r="N17" s="10"/>
    </row>
    <row r="18" spans="1:14" ht="3" customHeight="1" x14ac:dyDescent="0.2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</row>
    <row r="19" spans="1:14" ht="18" x14ac:dyDescent="0.25">
      <c r="A19" s="1" t="s">
        <v>20</v>
      </c>
      <c r="G19" s="11" t="s">
        <v>21</v>
      </c>
      <c r="H19" s="10"/>
      <c r="I19" s="10"/>
      <c r="J19" s="10"/>
      <c r="K19" s="10"/>
      <c r="L19" s="10"/>
      <c r="M19" s="10"/>
      <c r="N19" s="10"/>
    </row>
    <row r="20" spans="1:14" ht="11.1" customHeight="1" x14ac:dyDescent="0.2">
      <c r="A20" s="12" t="s">
        <v>22</v>
      </c>
      <c r="F20" s="13"/>
      <c r="G20" s="11" t="s">
        <v>23</v>
      </c>
    </row>
    <row r="21" spans="1:14" ht="11.1" customHeight="1" x14ac:dyDescent="0.2">
      <c r="A21" s="11" t="s">
        <v>24</v>
      </c>
      <c r="F21" s="13"/>
      <c r="G21" s="11" t="s">
        <v>25</v>
      </c>
    </row>
    <row r="22" spans="1:14" ht="11.1" customHeight="1" x14ac:dyDescent="0.2">
      <c r="A22" s="11" t="s">
        <v>3</v>
      </c>
      <c r="F22" s="13"/>
      <c r="G22" s="11" t="s">
        <v>26</v>
      </c>
    </row>
    <row r="23" spans="1:14" ht="11.1" customHeight="1" x14ac:dyDescent="0.2">
      <c r="A23" s="11" t="s">
        <v>3</v>
      </c>
      <c r="F23" s="13"/>
      <c r="G23" s="11" t="s">
        <v>27</v>
      </c>
    </row>
    <row r="24" spans="1:14" ht="11.1" customHeight="1" x14ac:dyDescent="0.2">
      <c r="F24" s="13"/>
    </row>
    <row r="25" spans="1:14" ht="11.1" customHeight="1" x14ac:dyDescent="0.2">
      <c r="A25" s="11" t="s">
        <v>28</v>
      </c>
      <c r="D25" s="14"/>
      <c r="E25" s="144">
        <v>11800000</v>
      </c>
      <c r="F25" s="13"/>
    </row>
    <row r="26" spans="1:14" ht="11.1" customHeight="1" x14ac:dyDescent="0.2">
      <c r="A26" s="11" t="s">
        <v>29</v>
      </c>
      <c r="D26" s="14"/>
      <c r="E26" s="144">
        <v>0</v>
      </c>
      <c r="F26" s="13"/>
      <c r="G26" s="11" t="s">
        <v>216</v>
      </c>
      <c r="I26" s="16"/>
    </row>
    <row r="27" spans="1:14" ht="11.1" customHeight="1" x14ac:dyDescent="0.2">
      <c r="A27" s="11" t="s">
        <v>149</v>
      </c>
      <c r="D27" s="14"/>
      <c r="E27" s="48">
        <f>+SUM(E25,E26)</f>
        <v>11800000</v>
      </c>
      <c r="F27" s="13"/>
    </row>
    <row r="28" spans="1:14" ht="11.1" customHeight="1" x14ac:dyDescent="0.2">
      <c r="A28" s="11" t="s">
        <v>31</v>
      </c>
      <c r="D28" s="14"/>
      <c r="E28" s="145">
        <f>+'G703'!G32</f>
        <v>11347285.217000004</v>
      </c>
      <c r="F28" s="13"/>
      <c r="N28" s="18"/>
    </row>
    <row r="29" spans="1:14" ht="11.1" customHeight="1" x14ac:dyDescent="0.2">
      <c r="A29" s="11" t="s">
        <v>32</v>
      </c>
      <c r="F29" s="13"/>
      <c r="G29" s="11" t="s">
        <v>33</v>
      </c>
      <c r="H29" s="19"/>
      <c r="I29" s="19"/>
      <c r="J29" s="19"/>
      <c r="K29" s="11" t="s">
        <v>34</v>
      </c>
      <c r="L29" s="19"/>
      <c r="M29" s="19"/>
      <c r="N29" s="19"/>
    </row>
    <row r="30" spans="1:14" ht="11.1" customHeight="1" x14ac:dyDescent="0.2">
      <c r="A30" s="11" t="s">
        <v>35</v>
      </c>
      <c r="F30" s="13"/>
    </row>
    <row r="31" spans="1:14" ht="11.1" customHeight="1" x14ac:dyDescent="0.2">
      <c r="A31" s="14" t="s">
        <v>36</v>
      </c>
      <c r="B31" s="20"/>
      <c r="C31" s="11" t="s">
        <v>37</v>
      </c>
      <c r="D31" s="15"/>
      <c r="F31" s="13"/>
      <c r="G31" s="11" t="s">
        <v>38</v>
      </c>
      <c r="J31" s="14" t="s">
        <v>39</v>
      </c>
    </row>
    <row r="32" spans="1:14" ht="11.1" customHeight="1" x14ac:dyDescent="0.2">
      <c r="B32" s="11" t="s">
        <v>40</v>
      </c>
      <c r="F32" s="13"/>
      <c r="G32" s="11" t="s">
        <v>41</v>
      </c>
      <c r="J32" s="11" t="s">
        <v>42</v>
      </c>
      <c r="N32" s="11" t="s">
        <v>3</v>
      </c>
    </row>
    <row r="33" spans="1:14" ht="11.1" customHeight="1" x14ac:dyDescent="0.2">
      <c r="A33" s="14" t="s">
        <v>43</v>
      </c>
      <c r="B33" s="20"/>
      <c r="C33" s="2" t="s">
        <v>44</v>
      </c>
      <c r="D33" s="21"/>
      <c r="F33" s="13"/>
      <c r="G33" s="11" t="s">
        <v>45</v>
      </c>
    </row>
    <row r="34" spans="1:14" ht="11.1" customHeight="1" x14ac:dyDescent="0.2">
      <c r="B34" s="11" t="s">
        <v>46</v>
      </c>
      <c r="F34" s="13"/>
      <c r="G34" s="11" t="s">
        <v>47</v>
      </c>
    </row>
    <row r="35" spans="1:14" ht="11.1" customHeight="1" thickBot="1" x14ac:dyDescent="0.25">
      <c r="A35" s="11" t="s">
        <v>48</v>
      </c>
      <c r="F35" s="13"/>
      <c r="G35" s="22"/>
      <c r="H35" s="22"/>
      <c r="I35" s="22"/>
      <c r="J35" s="22"/>
      <c r="K35" s="22"/>
      <c r="L35" s="22"/>
      <c r="M35" s="22"/>
      <c r="N35" s="22"/>
    </row>
    <row r="36" spans="1:14" ht="15.75" customHeight="1" x14ac:dyDescent="0.25">
      <c r="B36" s="11" t="s">
        <v>49</v>
      </c>
      <c r="D36" s="14" t="s">
        <v>30</v>
      </c>
      <c r="E36" s="146">
        <f>+'G703'!J32</f>
        <v>539680.0070000001</v>
      </c>
      <c r="F36" s="13"/>
      <c r="G36" s="1" t="s">
        <v>50</v>
      </c>
      <c r="H36" s="8"/>
      <c r="I36" s="8"/>
      <c r="J36" s="8"/>
      <c r="K36" s="8"/>
      <c r="L36" s="8"/>
      <c r="M36" s="8"/>
      <c r="N36" s="8"/>
    </row>
    <row r="37" spans="1:14" ht="11.1" customHeight="1" x14ac:dyDescent="0.2">
      <c r="A37" s="11" t="s">
        <v>51</v>
      </c>
      <c r="D37" s="14" t="s">
        <v>30</v>
      </c>
      <c r="E37" s="17">
        <f>+E28-E36</f>
        <v>10807605.210000005</v>
      </c>
      <c r="F37" s="13"/>
      <c r="G37" s="11" t="s">
        <v>52</v>
      </c>
    </row>
    <row r="38" spans="1:14" ht="11.1" customHeight="1" x14ac:dyDescent="0.2">
      <c r="B38" s="11" t="s">
        <v>53</v>
      </c>
      <c r="F38" s="13"/>
      <c r="G38" s="11" t="s">
        <v>54</v>
      </c>
    </row>
    <row r="39" spans="1:14" ht="11.1" customHeight="1" x14ac:dyDescent="0.2">
      <c r="A39" s="11" t="s">
        <v>55</v>
      </c>
      <c r="F39" s="13"/>
      <c r="G39" s="11" t="s">
        <v>56</v>
      </c>
    </row>
    <row r="40" spans="1:14" ht="11.1" customHeight="1" x14ac:dyDescent="0.2">
      <c r="A40" s="11" t="s">
        <v>57</v>
      </c>
      <c r="D40" s="14" t="s">
        <v>30</v>
      </c>
      <c r="E40" s="147">
        <f>+SUMIFS('Boulder Invoice'!$J:$J,'Boulder Invoice'!$B:$B,"&lt;"&amp;$I$3)</f>
        <v>10083915.559999976</v>
      </c>
      <c r="F40" s="13"/>
      <c r="G40" s="11" t="s">
        <v>58</v>
      </c>
    </row>
    <row r="41" spans="1:14" ht="12" customHeight="1" x14ac:dyDescent="0.2">
      <c r="A41" s="11" t="s">
        <v>59</v>
      </c>
      <c r="D41" s="14" t="s">
        <v>30</v>
      </c>
      <c r="E41" s="23">
        <f>+E37-E40</f>
        <v>723689.65000002831</v>
      </c>
      <c r="F41" s="13"/>
      <c r="G41" s="11" t="s">
        <v>60</v>
      </c>
    </row>
    <row r="42" spans="1:14" ht="11.1" customHeight="1" x14ac:dyDescent="0.2">
      <c r="A42" s="11" t="s">
        <v>61</v>
      </c>
      <c r="E42" s="17">
        <f>+E27-E37</f>
        <v>992394.78999999538</v>
      </c>
      <c r="F42" s="13"/>
    </row>
    <row r="43" spans="1:14" ht="11.1" customHeight="1" x14ac:dyDescent="0.2">
      <c r="B43" s="11" t="s">
        <v>62</v>
      </c>
      <c r="F43" s="13"/>
      <c r="G43" s="11" t="s">
        <v>63</v>
      </c>
      <c r="J43" s="21"/>
    </row>
    <row r="44" spans="1:14" ht="11.1" customHeight="1" thickBot="1" x14ac:dyDescent="0.25">
      <c r="F44" s="13"/>
    </row>
    <row r="45" spans="1:14" ht="11.1" customHeight="1" x14ac:dyDescent="0.2">
      <c r="A45" s="24" t="s">
        <v>64</v>
      </c>
      <c r="B45" s="25"/>
      <c r="C45" s="25"/>
      <c r="D45" s="26" t="s">
        <v>65</v>
      </c>
      <c r="E45" s="27" t="s">
        <v>66</v>
      </c>
      <c r="F45" s="13"/>
      <c r="G45" s="28" t="s">
        <v>67</v>
      </c>
    </row>
    <row r="46" spans="1:14" ht="11.1" customHeight="1" x14ac:dyDescent="0.2">
      <c r="A46" s="29" t="s">
        <v>68</v>
      </c>
      <c r="D46" s="30"/>
      <c r="E46" s="31"/>
      <c r="F46" s="13"/>
      <c r="G46" s="32" t="s">
        <v>69</v>
      </c>
    </row>
    <row r="47" spans="1:14" ht="11.1" customHeight="1" x14ac:dyDescent="0.2">
      <c r="A47" s="33" t="s">
        <v>70</v>
      </c>
      <c r="B47" s="19"/>
      <c r="C47" s="19"/>
      <c r="D47" s="34">
        <v>0</v>
      </c>
      <c r="E47" s="35">
        <v>0</v>
      </c>
      <c r="F47" s="13"/>
      <c r="G47" s="11" t="s">
        <v>71</v>
      </c>
    </row>
    <row r="48" spans="1:14" ht="6.75" customHeight="1" x14ac:dyDescent="0.2">
      <c r="A48" s="36"/>
      <c r="D48" s="30"/>
      <c r="E48" s="31"/>
      <c r="F48" s="13"/>
    </row>
    <row r="49" spans="1:14" ht="12.75" customHeight="1" x14ac:dyDescent="0.2">
      <c r="A49" s="33" t="s">
        <v>72</v>
      </c>
      <c r="B49" s="19"/>
      <c r="C49" s="19"/>
      <c r="D49" s="34">
        <v>0</v>
      </c>
      <c r="E49" s="35">
        <v>0</v>
      </c>
      <c r="F49" s="13"/>
      <c r="G49" s="11" t="s">
        <v>33</v>
      </c>
      <c r="H49" s="19"/>
      <c r="I49" s="19"/>
      <c r="J49" s="19"/>
      <c r="K49" s="11" t="s">
        <v>34</v>
      </c>
      <c r="L49" s="19"/>
      <c r="M49" s="19"/>
      <c r="N49" s="19"/>
    </row>
    <row r="50" spans="1:14" ht="3.75" customHeight="1" x14ac:dyDescent="0.2">
      <c r="A50" s="36"/>
      <c r="D50" s="30"/>
      <c r="E50" s="31"/>
      <c r="F50" s="13"/>
    </row>
    <row r="51" spans="1:14" ht="12.75" customHeight="1" x14ac:dyDescent="0.2">
      <c r="A51" s="33" t="s">
        <v>73</v>
      </c>
      <c r="B51" s="19"/>
      <c r="C51" s="19"/>
      <c r="D51" s="37">
        <f>+D47+D49</f>
        <v>0</v>
      </c>
      <c r="E51" s="38">
        <f>+E47+E49</f>
        <v>0</v>
      </c>
      <c r="F51" s="13"/>
      <c r="G51" s="11" t="s">
        <v>74</v>
      </c>
    </row>
    <row r="52" spans="1:14" ht="11.1" customHeight="1" x14ac:dyDescent="0.2">
      <c r="A52" s="36"/>
      <c r="D52" s="30"/>
      <c r="E52" s="39"/>
      <c r="F52" s="13"/>
      <c r="G52" s="11" t="s">
        <v>75</v>
      </c>
    </row>
    <row r="53" spans="1:14" ht="11.1" customHeight="1" thickBot="1" x14ac:dyDescent="0.25">
      <c r="A53" s="40" t="s">
        <v>76</v>
      </c>
      <c r="B53" s="41"/>
      <c r="C53" s="41"/>
      <c r="D53" s="42">
        <f>+D51-E51</f>
        <v>0</v>
      </c>
      <c r="E53" s="43"/>
      <c r="F53" s="13"/>
      <c r="G53" s="11" t="s">
        <v>77</v>
      </c>
    </row>
    <row r="54" spans="1:14" ht="6" customHeight="1" thickBot="1" x14ac:dyDescent="0.25">
      <c r="F54" s="13"/>
      <c r="G54" s="10"/>
      <c r="H54" s="10"/>
      <c r="I54" s="10"/>
      <c r="J54" s="10"/>
      <c r="K54" s="10"/>
      <c r="L54" s="10"/>
      <c r="M54" s="10"/>
      <c r="N54" s="10"/>
    </row>
    <row r="55" spans="1:14" x14ac:dyDescent="0.2">
      <c r="A55" s="44" t="s">
        <v>78</v>
      </c>
      <c r="B55" s="45"/>
      <c r="C55" s="45"/>
      <c r="D55" s="45"/>
      <c r="E55" s="45"/>
      <c r="F55" s="45"/>
      <c r="G55" s="44" t="s">
        <v>79</v>
      </c>
      <c r="H55" s="45"/>
      <c r="I55" s="45"/>
      <c r="J55" s="45"/>
      <c r="K55" s="45"/>
      <c r="L55" s="45"/>
      <c r="M55" s="45"/>
      <c r="N55" s="45"/>
    </row>
    <row r="56" spans="1:14" x14ac:dyDescent="0.2">
      <c r="A56" s="46" t="s">
        <v>80</v>
      </c>
      <c r="N56" s="47"/>
    </row>
  </sheetData>
  <conditionalFormatting sqref="A1:N4 A5:H5 J5:N5 A6:N56">
    <cfRule type="expression" dxfId="5" priority="2">
      <formula>$P$3=1</formula>
    </cfRule>
  </conditionalFormatting>
  <conditionalFormatting sqref="I5">
    <cfRule type="expression" dxfId="4" priority="1">
      <formula>$M$3=1</formula>
    </cfRule>
  </conditionalFormatting>
  <pageMargins left="0.25" right="0.25" top="0.5" bottom="0.5" header="0.25" footer="0.25"/>
  <pageSetup scale="96" orientation="landscape" r:id="rId1"/>
  <ignoredErrors>
    <ignoredError sqref="E28 E36 E40:E41 D53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40372-0CBB-4621-9FB3-D06454174BC3}">
  <sheetPr>
    <pageSetUpPr fitToPage="1"/>
  </sheetPr>
  <dimension ref="A1:L33"/>
  <sheetViews>
    <sheetView showGridLines="0" view="pageBreakPreview" zoomScaleNormal="100" zoomScaleSheetLayoutView="100" workbookViewId="0"/>
  </sheetViews>
  <sheetFormatPr defaultColWidth="8.42578125" defaultRowHeight="15" customHeight="1" x14ac:dyDescent="0.2"/>
  <cols>
    <col min="1" max="1" width="4.85546875" style="123" customWidth="1"/>
    <col min="2" max="2" width="35.5703125" style="82" bestFit="1" customWidth="1"/>
    <col min="3" max="3" width="13.7109375" style="82" customWidth="1"/>
    <col min="4" max="6" width="12.7109375" style="82" customWidth="1"/>
    <col min="7" max="7" width="14" style="82" customWidth="1"/>
    <col min="8" max="8" width="7.7109375" style="82" customWidth="1"/>
    <col min="9" max="10" width="12.7109375" style="82" customWidth="1"/>
    <col min="11" max="202" width="8.42578125" style="82"/>
    <col min="203" max="203" width="4.85546875" style="82" customWidth="1"/>
    <col min="204" max="204" width="40.7109375" style="82" customWidth="1"/>
    <col min="205" max="205" width="10.28515625" style="82" bestFit="1" customWidth="1"/>
    <col min="206" max="208" width="12.7109375" style="82" customWidth="1"/>
    <col min="209" max="209" width="14" style="82" customWidth="1"/>
    <col min="210" max="210" width="7.7109375" style="82" customWidth="1"/>
    <col min="211" max="212" width="12.7109375" style="82" customWidth="1"/>
    <col min="213" max="458" width="8.42578125" style="82"/>
    <col min="459" max="459" width="4.85546875" style="82" customWidth="1"/>
    <col min="460" max="460" width="40.7109375" style="82" customWidth="1"/>
    <col min="461" max="461" width="10.28515625" style="82" bestFit="1" customWidth="1"/>
    <col min="462" max="464" width="12.7109375" style="82" customWidth="1"/>
    <col min="465" max="465" width="14" style="82" customWidth="1"/>
    <col min="466" max="466" width="7.7109375" style="82" customWidth="1"/>
    <col min="467" max="468" width="12.7109375" style="82" customWidth="1"/>
    <col min="469" max="714" width="8.42578125" style="82"/>
    <col min="715" max="715" width="4.85546875" style="82" customWidth="1"/>
    <col min="716" max="716" width="40.7109375" style="82" customWidth="1"/>
    <col min="717" max="717" width="10.28515625" style="82" bestFit="1" customWidth="1"/>
    <col min="718" max="720" width="12.7109375" style="82" customWidth="1"/>
    <col min="721" max="721" width="14" style="82" customWidth="1"/>
    <col min="722" max="722" width="7.7109375" style="82" customWidth="1"/>
    <col min="723" max="724" width="12.7109375" style="82" customWidth="1"/>
    <col min="725" max="970" width="8.42578125" style="82"/>
    <col min="971" max="971" width="4.85546875" style="82" customWidth="1"/>
    <col min="972" max="972" width="40.7109375" style="82" customWidth="1"/>
    <col min="973" max="973" width="10.28515625" style="82" bestFit="1" customWidth="1"/>
    <col min="974" max="976" width="12.7109375" style="82" customWidth="1"/>
    <col min="977" max="977" width="14" style="82" customWidth="1"/>
    <col min="978" max="978" width="7.7109375" style="82" customWidth="1"/>
    <col min="979" max="980" width="12.7109375" style="82" customWidth="1"/>
    <col min="981" max="1226" width="8.42578125" style="82"/>
    <col min="1227" max="1227" width="4.85546875" style="82" customWidth="1"/>
    <col min="1228" max="1228" width="40.7109375" style="82" customWidth="1"/>
    <col min="1229" max="1229" width="10.28515625" style="82" bestFit="1" customWidth="1"/>
    <col min="1230" max="1232" width="12.7109375" style="82" customWidth="1"/>
    <col min="1233" max="1233" width="14" style="82" customWidth="1"/>
    <col min="1234" max="1234" width="7.7109375" style="82" customWidth="1"/>
    <col min="1235" max="1236" width="12.7109375" style="82" customWidth="1"/>
    <col min="1237" max="1482" width="8.42578125" style="82"/>
    <col min="1483" max="1483" width="4.85546875" style="82" customWidth="1"/>
    <col min="1484" max="1484" width="40.7109375" style="82" customWidth="1"/>
    <col min="1485" max="1485" width="10.28515625" style="82" bestFit="1" customWidth="1"/>
    <col min="1486" max="1488" width="12.7109375" style="82" customWidth="1"/>
    <col min="1489" max="1489" width="14" style="82" customWidth="1"/>
    <col min="1490" max="1490" width="7.7109375" style="82" customWidth="1"/>
    <col min="1491" max="1492" width="12.7109375" style="82" customWidth="1"/>
    <col min="1493" max="1738" width="8.42578125" style="82"/>
    <col min="1739" max="1739" width="4.85546875" style="82" customWidth="1"/>
    <col min="1740" max="1740" width="40.7109375" style="82" customWidth="1"/>
    <col min="1741" max="1741" width="10.28515625" style="82" bestFit="1" customWidth="1"/>
    <col min="1742" max="1744" width="12.7109375" style="82" customWidth="1"/>
    <col min="1745" max="1745" width="14" style="82" customWidth="1"/>
    <col min="1746" max="1746" width="7.7109375" style="82" customWidth="1"/>
    <col min="1747" max="1748" width="12.7109375" style="82" customWidth="1"/>
    <col min="1749" max="1994" width="8.42578125" style="82"/>
    <col min="1995" max="1995" width="4.85546875" style="82" customWidth="1"/>
    <col min="1996" max="1996" width="40.7109375" style="82" customWidth="1"/>
    <col min="1997" max="1997" width="10.28515625" style="82" bestFit="1" customWidth="1"/>
    <col min="1998" max="2000" width="12.7109375" style="82" customWidth="1"/>
    <col min="2001" max="2001" width="14" style="82" customWidth="1"/>
    <col min="2002" max="2002" width="7.7109375" style="82" customWidth="1"/>
    <col min="2003" max="2004" width="12.7109375" style="82" customWidth="1"/>
    <col min="2005" max="2250" width="8.42578125" style="82"/>
    <col min="2251" max="2251" width="4.85546875" style="82" customWidth="1"/>
    <col min="2252" max="2252" width="40.7109375" style="82" customWidth="1"/>
    <col min="2253" max="2253" width="10.28515625" style="82" bestFit="1" customWidth="1"/>
    <col min="2254" max="2256" width="12.7109375" style="82" customWidth="1"/>
    <col min="2257" max="2257" width="14" style="82" customWidth="1"/>
    <col min="2258" max="2258" width="7.7109375" style="82" customWidth="1"/>
    <col min="2259" max="2260" width="12.7109375" style="82" customWidth="1"/>
    <col min="2261" max="2506" width="8.42578125" style="82"/>
    <col min="2507" max="2507" width="4.85546875" style="82" customWidth="1"/>
    <col min="2508" max="2508" width="40.7109375" style="82" customWidth="1"/>
    <col min="2509" max="2509" width="10.28515625" style="82" bestFit="1" customWidth="1"/>
    <col min="2510" max="2512" width="12.7109375" style="82" customWidth="1"/>
    <col min="2513" max="2513" width="14" style="82" customWidth="1"/>
    <col min="2514" max="2514" width="7.7109375" style="82" customWidth="1"/>
    <col min="2515" max="2516" width="12.7109375" style="82" customWidth="1"/>
    <col min="2517" max="2762" width="8.42578125" style="82"/>
    <col min="2763" max="2763" width="4.85546875" style="82" customWidth="1"/>
    <col min="2764" max="2764" width="40.7109375" style="82" customWidth="1"/>
    <col min="2765" max="2765" width="10.28515625" style="82" bestFit="1" customWidth="1"/>
    <col min="2766" max="2768" width="12.7109375" style="82" customWidth="1"/>
    <col min="2769" max="2769" width="14" style="82" customWidth="1"/>
    <col min="2770" max="2770" width="7.7109375" style="82" customWidth="1"/>
    <col min="2771" max="2772" width="12.7109375" style="82" customWidth="1"/>
    <col min="2773" max="3018" width="8.42578125" style="82"/>
    <col min="3019" max="3019" width="4.85546875" style="82" customWidth="1"/>
    <col min="3020" max="3020" width="40.7109375" style="82" customWidth="1"/>
    <col min="3021" max="3021" width="10.28515625" style="82" bestFit="1" customWidth="1"/>
    <col min="3022" max="3024" width="12.7109375" style="82" customWidth="1"/>
    <col min="3025" max="3025" width="14" style="82" customWidth="1"/>
    <col min="3026" max="3026" width="7.7109375" style="82" customWidth="1"/>
    <col min="3027" max="3028" width="12.7109375" style="82" customWidth="1"/>
    <col min="3029" max="3274" width="8.42578125" style="82"/>
    <col min="3275" max="3275" width="4.85546875" style="82" customWidth="1"/>
    <col min="3276" max="3276" width="40.7109375" style="82" customWidth="1"/>
    <col min="3277" max="3277" width="10.28515625" style="82" bestFit="1" customWidth="1"/>
    <col min="3278" max="3280" width="12.7109375" style="82" customWidth="1"/>
    <col min="3281" max="3281" width="14" style="82" customWidth="1"/>
    <col min="3282" max="3282" width="7.7109375" style="82" customWidth="1"/>
    <col min="3283" max="3284" width="12.7109375" style="82" customWidth="1"/>
    <col min="3285" max="3530" width="8.42578125" style="82"/>
    <col min="3531" max="3531" width="4.85546875" style="82" customWidth="1"/>
    <col min="3532" max="3532" width="40.7109375" style="82" customWidth="1"/>
    <col min="3533" max="3533" width="10.28515625" style="82" bestFit="1" customWidth="1"/>
    <col min="3534" max="3536" width="12.7109375" style="82" customWidth="1"/>
    <col min="3537" max="3537" width="14" style="82" customWidth="1"/>
    <col min="3538" max="3538" width="7.7109375" style="82" customWidth="1"/>
    <col min="3539" max="3540" width="12.7109375" style="82" customWidth="1"/>
    <col min="3541" max="3786" width="8.42578125" style="82"/>
    <col min="3787" max="3787" width="4.85546875" style="82" customWidth="1"/>
    <col min="3788" max="3788" width="40.7109375" style="82" customWidth="1"/>
    <col min="3789" max="3789" width="10.28515625" style="82" bestFit="1" customWidth="1"/>
    <col min="3790" max="3792" width="12.7109375" style="82" customWidth="1"/>
    <col min="3793" max="3793" width="14" style="82" customWidth="1"/>
    <col min="3794" max="3794" width="7.7109375" style="82" customWidth="1"/>
    <col min="3795" max="3796" width="12.7109375" style="82" customWidth="1"/>
    <col min="3797" max="4042" width="8.42578125" style="82"/>
    <col min="4043" max="4043" width="4.85546875" style="82" customWidth="1"/>
    <col min="4044" max="4044" width="40.7109375" style="82" customWidth="1"/>
    <col min="4045" max="4045" width="10.28515625" style="82" bestFit="1" customWidth="1"/>
    <col min="4046" max="4048" width="12.7109375" style="82" customWidth="1"/>
    <col min="4049" max="4049" width="14" style="82" customWidth="1"/>
    <col min="4050" max="4050" width="7.7109375" style="82" customWidth="1"/>
    <col min="4051" max="4052" width="12.7109375" style="82" customWidth="1"/>
    <col min="4053" max="4298" width="8.42578125" style="82"/>
    <col min="4299" max="4299" width="4.85546875" style="82" customWidth="1"/>
    <col min="4300" max="4300" width="40.7109375" style="82" customWidth="1"/>
    <col min="4301" max="4301" width="10.28515625" style="82" bestFit="1" customWidth="1"/>
    <col min="4302" max="4304" width="12.7109375" style="82" customWidth="1"/>
    <col min="4305" max="4305" width="14" style="82" customWidth="1"/>
    <col min="4306" max="4306" width="7.7109375" style="82" customWidth="1"/>
    <col min="4307" max="4308" width="12.7109375" style="82" customWidth="1"/>
    <col min="4309" max="4554" width="8.42578125" style="82"/>
    <col min="4555" max="4555" width="4.85546875" style="82" customWidth="1"/>
    <col min="4556" max="4556" width="40.7109375" style="82" customWidth="1"/>
    <col min="4557" max="4557" width="10.28515625" style="82" bestFit="1" customWidth="1"/>
    <col min="4558" max="4560" width="12.7109375" style="82" customWidth="1"/>
    <col min="4561" max="4561" width="14" style="82" customWidth="1"/>
    <col min="4562" max="4562" width="7.7109375" style="82" customWidth="1"/>
    <col min="4563" max="4564" width="12.7109375" style="82" customWidth="1"/>
    <col min="4565" max="4810" width="8.42578125" style="82"/>
    <col min="4811" max="4811" width="4.85546875" style="82" customWidth="1"/>
    <col min="4812" max="4812" width="40.7109375" style="82" customWidth="1"/>
    <col min="4813" max="4813" width="10.28515625" style="82" bestFit="1" customWidth="1"/>
    <col min="4814" max="4816" width="12.7109375" style="82" customWidth="1"/>
    <col min="4817" max="4817" width="14" style="82" customWidth="1"/>
    <col min="4818" max="4818" width="7.7109375" style="82" customWidth="1"/>
    <col min="4819" max="4820" width="12.7109375" style="82" customWidth="1"/>
    <col min="4821" max="5066" width="8.42578125" style="82"/>
    <col min="5067" max="5067" width="4.85546875" style="82" customWidth="1"/>
    <col min="5068" max="5068" width="40.7109375" style="82" customWidth="1"/>
    <col min="5069" max="5069" width="10.28515625" style="82" bestFit="1" customWidth="1"/>
    <col min="5070" max="5072" width="12.7109375" style="82" customWidth="1"/>
    <col min="5073" max="5073" width="14" style="82" customWidth="1"/>
    <col min="5074" max="5074" width="7.7109375" style="82" customWidth="1"/>
    <col min="5075" max="5076" width="12.7109375" style="82" customWidth="1"/>
    <col min="5077" max="5322" width="8.42578125" style="82"/>
    <col min="5323" max="5323" width="4.85546875" style="82" customWidth="1"/>
    <col min="5324" max="5324" width="40.7109375" style="82" customWidth="1"/>
    <col min="5325" max="5325" width="10.28515625" style="82" bestFit="1" customWidth="1"/>
    <col min="5326" max="5328" width="12.7109375" style="82" customWidth="1"/>
    <col min="5329" max="5329" width="14" style="82" customWidth="1"/>
    <col min="5330" max="5330" width="7.7109375" style="82" customWidth="1"/>
    <col min="5331" max="5332" width="12.7109375" style="82" customWidth="1"/>
    <col min="5333" max="5578" width="8.42578125" style="82"/>
    <col min="5579" max="5579" width="4.85546875" style="82" customWidth="1"/>
    <col min="5580" max="5580" width="40.7109375" style="82" customWidth="1"/>
    <col min="5581" max="5581" width="10.28515625" style="82" bestFit="1" customWidth="1"/>
    <col min="5582" max="5584" width="12.7109375" style="82" customWidth="1"/>
    <col min="5585" max="5585" width="14" style="82" customWidth="1"/>
    <col min="5586" max="5586" width="7.7109375" style="82" customWidth="1"/>
    <col min="5587" max="5588" width="12.7109375" style="82" customWidth="1"/>
    <col min="5589" max="5834" width="8.42578125" style="82"/>
    <col min="5835" max="5835" width="4.85546875" style="82" customWidth="1"/>
    <col min="5836" max="5836" width="40.7109375" style="82" customWidth="1"/>
    <col min="5837" max="5837" width="10.28515625" style="82" bestFit="1" customWidth="1"/>
    <col min="5838" max="5840" width="12.7109375" style="82" customWidth="1"/>
    <col min="5841" max="5841" width="14" style="82" customWidth="1"/>
    <col min="5842" max="5842" width="7.7109375" style="82" customWidth="1"/>
    <col min="5843" max="5844" width="12.7109375" style="82" customWidth="1"/>
    <col min="5845" max="6090" width="8.42578125" style="82"/>
    <col min="6091" max="6091" width="4.85546875" style="82" customWidth="1"/>
    <col min="6092" max="6092" width="40.7109375" style="82" customWidth="1"/>
    <col min="6093" max="6093" width="10.28515625" style="82" bestFit="1" customWidth="1"/>
    <col min="6094" max="6096" width="12.7109375" style="82" customWidth="1"/>
    <col min="6097" max="6097" width="14" style="82" customWidth="1"/>
    <col min="6098" max="6098" width="7.7109375" style="82" customWidth="1"/>
    <col min="6099" max="6100" width="12.7109375" style="82" customWidth="1"/>
    <col min="6101" max="6346" width="8.42578125" style="82"/>
    <col min="6347" max="6347" width="4.85546875" style="82" customWidth="1"/>
    <col min="6348" max="6348" width="40.7109375" style="82" customWidth="1"/>
    <col min="6349" max="6349" width="10.28515625" style="82" bestFit="1" customWidth="1"/>
    <col min="6350" max="6352" width="12.7109375" style="82" customWidth="1"/>
    <col min="6353" max="6353" width="14" style="82" customWidth="1"/>
    <col min="6354" max="6354" width="7.7109375" style="82" customWidth="1"/>
    <col min="6355" max="6356" width="12.7109375" style="82" customWidth="1"/>
    <col min="6357" max="6602" width="8.42578125" style="82"/>
    <col min="6603" max="6603" width="4.85546875" style="82" customWidth="1"/>
    <col min="6604" max="6604" width="40.7109375" style="82" customWidth="1"/>
    <col min="6605" max="6605" width="10.28515625" style="82" bestFit="1" customWidth="1"/>
    <col min="6606" max="6608" width="12.7109375" style="82" customWidth="1"/>
    <col min="6609" max="6609" width="14" style="82" customWidth="1"/>
    <col min="6610" max="6610" width="7.7109375" style="82" customWidth="1"/>
    <col min="6611" max="6612" width="12.7109375" style="82" customWidth="1"/>
    <col min="6613" max="6858" width="8.42578125" style="82"/>
    <col min="6859" max="6859" width="4.85546875" style="82" customWidth="1"/>
    <col min="6860" max="6860" width="40.7109375" style="82" customWidth="1"/>
    <col min="6861" max="6861" width="10.28515625" style="82" bestFit="1" customWidth="1"/>
    <col min="6862" max="6864" width="12.7109375" style="82" customWidth="1"/>
    <col min="6865" max="6865" width="14" style="82" customWidth="1"/>
    <col min="6866" max="6866" width="7.7109375" style="82" customWidth="1"/>
    <col min="6867" max="6868" width="12.7109375" style="82" customWidth="1"/>
    <col min="6869" max="7114" width="8.42578125" style="82"/>
    <col min="7115" max="7115" width="4.85546875" style="82" customWidth="1"/>
    <col min="7116" max="7116" width="40.7109375" style="82" customWidth="1"/>
    <col min="7117" max="7117" width="10.28515625" style="82" bestFit="1" customWidth="1"/>
    <col min="7118" max="7120" width="12.7109375" style="82" customWidth="1"/>
    <col min="7121" max="7121" width="14" style="82" customWidth="1"/>
    <col min="7122" max="7122" width="7.7109375" style="82" customWidth="1"/>
    <col min="7123" max="7124" width="12.7109375" style="82" customWidth="1"/>
    <col min="7125" max="7370" width="8.42578125" style="82"/>
    <col min="7371" max="7371" width="4.85546875" style="82" customWidth="1"/>
    <col min="7372" max="7372" width="40.7109375" style="82" customWidth="1"/>
    <col min="7373" max="7373" width="10.28515625" style="82" bestFit="1" customWidth="1"/>
    <col min="7374" max="7376" width="12.7109375" style="82" customWidth="1"/>
    <col min="7377" max="7377" width="14" style="82" customWidth="1"/>
    <col min="7378" max="7378" width="7.7109375" style="82" customWidth="1"/>
    <col min="7379" max="7380" width="12.7109375" style="82" customWidth="1"/>
    <col min="7381" max="7626" width="8.42578125" style="82"/>
    <col min="7627" max="7627" width="4.85546875" style="82" customWidth="1"/>
    <col min="7628" max="7628" width="40.7109375" style="82" customWidth="1"/>
    <col min="7629" max="7629" width="10.28515625" style="82" bestFit="1" customWidth="1"/>
    <col min="7630" max="7632" width="12.7109375" style="82" customWidth="1"/>
    <col min="7633" max="7633" width="14" style="82" customWidth="1"/>
    <col min="7634" max="7634" width="7.7109375" style="82" customWidth="1"/>
    <col min="7635" max="7636" width="12.7109375" style="82" customWidth="1"/>
    <col min="7637" max="7882" width="8.42578125" style="82"/>
    <col min="7883" max="7883" width="4.85546875" style="82" customWidth="1"/>
    <col min="7884" max="7884" width="40.7109375" style="82" customWidth="1"/>
    <col min="7885" max="7885" width="10.28515625" style="82" bestFit="1" customWidth="1"/>
    <col min="7886" max="7888" width="12.7109375" style="82" customWidth="1"/>
    <col min="7889" max="7889" width="14" style="82" customWidth="1"/>
    <col min="7890" max="7890" width="7.7109375" style="82" customWidth="1"/>
    <col min="7891" max="7892" width="12.7109375" style="82" customWidth="1"/>
    <col min="7893" max="8138" width="8.42578125" style="82"/>
    <col min="8139" max="8139" width="4.85546875" style="82" customWidth="1"/>
    <col min="8140" max="8140" width="40.7109375" style="82" customWidth="1"/>
    <col min="8141" max="8141" width="10.28515625" style="82" bestFit="1" customWidth="1"/>
    <col min="8142" max="8144" width="12.7109375" style="82" customWidth="1"/>
    <col min="8145" max="8145" width="14" style="82" customWidth="1"/>
    <col min="8146" max="8146" width="7.7109375" style="82" customWidth="1"/>
    <col min="8147" max="8148" width="12.7109375" style="82" customWidth="1"/>
    <col min="8149" max="8394" width="8.42578125" style="82"/>
    <col min="8395" max="8395" width="4.85546875" style="82" customWidth="1"/>
    <col min="8396" max="8396" width="40.7109375" style="82" customWidth="1"/>
    <col min="8397" max="8397" width="10.28515625" style="82" bestFit="1" customWidth="1"/>
    <col min="8398" max="8400" width="12.7109375" style="82" customWidth="1"/>
    <col min="8401" max="8401" width="14" style="82" customWidth="1"/>
    <col min="8402" max="8402" width="7.7109375" style="82" customWidth="1"/>
    <col min="8403" max="8404" width="12.7109375" style="82" customWidth="1"/>
    <col min="8405" max="8650" width="8.42578125" style="82"/>
    <col min="8651" max="8651" width="4.85546875" style="82" customWidth="1"/>
    <col min="8652" max="8652" width="40.7109375" style="82" customWidth="1"/>
    <col min="8653" max="8653" width="10.28515625" style="82" bestFit="1" customWidth="1"/>
    <col min="8654" max="8656" width="12.7109375" style="82" customWidth="1"/>
    <col min="8657" max="8657" width="14" style="82" customWidth="1"/>
    <col min="8658" max="8658" width="7.7109375" style="82" customWidth="1"/>
    <col min="8659" max="8660" width="12.7109375" style="82" customWidth="1"/>
    <col min="8661" max="8906" width="8.42578125" style="82"/>
    <col min="8907" max="8907" width="4.85546875" style="82" customWidth="1"/>
    <col min="8908" max="8908" width="40.7109375" style="82" customWidth="1"/>
    <col min="8909" max="8909" width="10.28515625" style="82" bestFit="1" customWidth="1"/>
    <col min="8910" max="8912" width="12.7109375" style="82" customWidth="1"/>
    <col min="8913" max="8913" width="14" style="82" customWidth="1"/>
    <col min="8914" max="8914" width="7.7109375" style="82" customWidth="1"/>
    <col min="8915" max="8916" width="12.7109375" style="82" customWidth="1"/>
    <col min="8917" max="9162" width="8.42578125" style="82"/>
    <col min="9163" max="9163" width="4.85546875" style="82" customWidth="1"/>
    <col min="9164" max="9164" width="40.7109375" style="82" customWidth="1"/>
    <col min="9165" max="9165" width="10.28515625" style="82" bestFit="1" customWidth="1"/>
    <col min="9166" max="9168" width="12.7109375" style="82" customWidth="1"/>
    <col min="9169" max="9169" width="14" style="82" customWidth="1"/>
    <col min="9170" max="9170" width="7.7109375" style="82" customWidth="1"/>
    <col min="9171" max="9172" width="12.7109375" style="82" customWidth="1"/>
    <col min="9173" max="9418" width="8.42578125" style="82"/>
    <col min="9419" max="9419" width="4.85546875" style="82" customWidth="1"/>
    <col min="9420" max="9420" width="40.7109375" style="82" customWidth="1"/>
    <col min="9421" max="9421" width="10.28515625" style="82" bestFit="1" customWidth="1"/>
    <col min="9422" max="9424" width="12.7109375" style="82" customWidth="1"/>
    <col min="9425" max="9425" width="14" style="82" customWidth="1"/>
    <col min="9426" max="9426" width="7.7109375" style="82" customWidth="1"/>
    <col min="9427" max="9428" width="12.7109375" style="82" customWidth="1"/>
    <col min="9429" max="9674" width="8.42578125" style="82"/>
    <col min="9675" max="9675" width="4.85546875" style="82" customWidth="1"/>
    <col min="9676" max="9676" width="40.7109375" style="82" customWidth="1"/>
    <col min="9677" max="9677" width="10.28515625" style="82" bestFit="1" customWidth="1"/>
    <col min="9678" max="9680" width="12.7109375" style="82" customWidth="1"/>
    <col min="9681" max="9681" width="14" style="82" customWidth="1"/>
    <col min="9682" max="9682" width="7.7109375" style="82" customWidth="1"/>
    <col min="9683" max="9684" width="12.7109375" style="82" customWidth="1"/>
    <col min="9685" max="9930" width="8.42578125" style="82"/>
    <col min="9931" max="9931" width="4.85546875" style="82" customWidth="1"/>
    <col min="9932" max="9932" width="40.7109375" style="82" customWidth="1"/>
    <col min="9933" max="9933" width="10.28515625" style="82" bestFit="1" customWidth="1"/>
    <col min="9934" max="9936" width="12.7109375" style="82" customWidth="1"/>
    <col min="9937" max="9937" width="14" style="82" customWidth="1"/>
    <col min="9938" max="9938" width="7.7109375" style="82" customWidth="1"/>
    <col min="9939" max="9940" width="12.7109375" style="82" customWidth="1"/>
    <col min="9941" max="10186" width="8.42578125" style="82"/>
    <col min="10187" max="10187" width="4.85546875" style="82" customWidth="1"/>
    <col min="10188" max="10188" width="40.7109375" style="82" customWidth="1"/>
    <col min="10189" max="10189" width="10.28515625" style="82" bestFit="1" customWidth="1"/>
    <col min="10190" max="10192" width="12.7109375" style="82" customWidth="1"/>
    <col min="10193" max="10193" width="14" style="82" customWidth="1"/>
    <col min="10194" max="10194" width="7.7109375" style="82" customWidth="1"/>
    <col min="10195" max="10196" width="12.7109375" style="82" customWidth="1"/>
    <col min="10197" max="10442" width="8.42578125" style="82"/>
    <col min="10443" max="10443" width="4.85546875" style="82" customWidth="1"/>
    <col min="10444" max="10444" width="40.7109375" style="82" customWidth="1"/>
    <col min="10445" max="10445" width="10.28515625" style="82" bestFit="1" customWidth="1"/>
    <col min="10446" max="10448" width="12.7109375" style="82" customWidth="1"/>
    <col min="10449" max="10449" width="14" style="82" customWidth="1"/>
    <col min="10450" max="10450" width="7.7109375" style="82" customWidth="1"/>
    <col min="10451" max="10452" width="12.7109375" style="82" customWidth="1"/>
    <col min="10453" max="10698" width="8.42578125" style="82"/>
    <col min="10699" max="10699" width="4.85546875" style="82" customWidth="1"/>
    <col min="10700" max="10700" width="40.7109375" style="82" customWidth="1"/>
    <col min="10701" max="10701" width="10.28515625" style="82" bestFit="1" customWidth="1"/>
    <col min="10702" max="10704" width="12.7109375" style="82" customWidth="1"/>
    <col min="10705" max="10705" width="14" style="82" customWidth="1"/>
    <col min="10706" max="10706" width="7.7109375" style="82" customWidth="1"/>
    <col min="10707" max="10708" width="12.7109375" style="82" customWidth="1"/>
    <col min="10709" max="10954" width="8.42578125" style="82"/>
    <col min="10955" max="10955" width="4.85546875" style="82" customWidth="1"/>
    <col min="10956" max="10956" width="40.7109375" style="82" customWidth="1"/>
    <col min="10957" max="10957" width="10.28515625" style="82" bestFit="1" customWidth="1"/>
    <col min="10958" max="10960" width="12.7109375" style="82" customWidth="1"/>
    <col min="10961" max="10961" width="14" style="82" customWidth="1"/>
    <col min="10962" max="10962" width="7.7109375" style="82" customWidth="1"/>
    <col min="10963" max="10964" width="12.7109375" style="82" customWidth="1"/>
    <col min="10965" max="11210" width="8.42578125" style="82"/>
    <col min="11211" max="11211" width="4.85546875" style="82" customWidth="1"/>
    <col min="11212" max="11212" width="40.7109375" style="82" customWidth="1"/>
    <col min="11213" max="11213" width="10.28515625" style="82" bestFit="1" customWidth="1"/>
    <col min="11214" max="11216" width="12.7109375" style="82" customWidth="1"/>
    <col min="11217" max="11217" width="14" style="82" customWidth="1"/>
    <col min="11218" max="11218" width="7.7109375" style="82" customWidth="1"/>
    <col min="11219" max="11220" width="12.7109375" style="82" customWidth="1"/>
    <col min="11221" max="11466" width="8.42578125" style="82"/>
    <col min="11467" max="11467" width="4.85546875" style="82" customWidth="1"/>
    <col min="11468" max="11468" width="40.7109375" style="82" customWidth="1"/>
    <col min="11469" max="11469" width="10.28515625" style="82" bestFit="1" customWidth="1"/>
    <col min="11470" max="11472" width="12.7109375" style="82" customWidth="1"/>
    <col min="11473" max="11473" width="14" style="82" customWidth="1"/>
    <col min="11474" max="11474" width="7.7109375" style="82" customWidth="1"/>
    <col min="11475" max="11476" width="12.7109375" style="82" customWidth="1"/>
    <col min="11477" max="11722" width="8.42578125" style="82"/>
    <col min="11723" max="11723" width="4.85546875" style="82" customWidth="1"/>
    <col min="11724" max="11724" width="40.7109375" style="82" customWidth="1"/>
    <col min="11725" max="11725" width="10.28515625" style="82" bestFit="1" customWidth="1"/>
    <col min="11726" max="11728" width="12.7109375" style="82" customWidth="1"/>
    <col min="11729" max="11729" width="14" style="82" customWidth="1"/>
    <col min="11730" max="11730" width="7.7109375" style="82" customWidth="1"/>
    <col min="11731" max="11732" width="12.7109375" style="82" customWidth="1"/>
    <col min="11733" max="11978" width="8.42578125" style="82"/>
    <col min="11979" max="11979" width="4.85546875" style="82" customWidth="1"/>
    <col min="11980" max="11980" width="40.7109375" style="82" customWidth="1"/>
    <col min="11981" max="11981" width="10.28515625" style="82" bestFit="1" customWidth="1"/>
    <col min="11982" max="11984" width="12.7109375" style="82" customWidth="1"/>
    <col min="11985" max="11985" width="14" style="82" customWidth="1"/>
    <col min="11986" max="11986" width="7.7109375" style="82" customWidth="1"/>
    <col min="11987" max="11988" width="12.7109375" style="82" customWidth="1"/>
    <col min="11989" max="12234" width="8.42578125" style="82"/>
    <col min="12235" max="12235" width="4.85546875" style="82" customWidth="1"/>
    <col min="12236" max="12236" width="40.7109375" style="82" customWidth="1"/>
    <col min="12237" max="12237" width="10.28515625" style="82" bestFit="1" customWidth="1"/>
    <col min="12238" max="12240" width="12.7109375" style="82" customWidth="1"/>
    <col min="12241" max="12241" width="14" style="82" customWidth="1"/>
    <col min="12242" max="12242" width="7.7109375" style="82" customWidth="1"/>
    <col min="12243" max="12244" width="12.7109375" style="82" customWidth="1"/>
    <col min="12245" max="12490" width="8.42578125" style="82"/>
    <col min="12491" max="12491" width="4.85546875" style="82" customWidth="1"/>
    <col min="12492" max="12492" width="40.7109375" style="82" customWidth="1"/>
    <col min="12493" max="12493" width="10.28515625" style="82" bestFit="1" customWidth="1"/>
    <col min="12494" max="12496" width="12.7109375" style="82" customWidth="1"/>
    <col min="12497" max="12497" width="14" style="82" customWidth="1"/>
    <col min="12498" max="12498" width="7.7109375" style="82" customWidth="1"/>
    <col min="12499" max="12500" width="12.7109375" style="82" customWidth="1"/>
    <col min="12501" max="12746" width="8.42578125" style="82"/>
    <col min="12747" max="12747" width="4.85546875" style="82" customWidth="1"/>
    <col min="12748" max="12748" width="40.7109375" style="82" customWidth="1"/>
    <col min="12749" max="12749" width="10.28515625" style="82" bestFit="1" customWidth="1"/>
    <col min="12750" max="12752" width="12.7109375" style="82" customWidth="1"/>
    <col min="12753" max="12753" width="14" style="82" customWidth="1"/>
    <col min="12754" max="12754" width="7.7109375" style="82" customWidth="1"/>
    <col min="12755" max="12756" width="12.7109375" style="82" customWidth="1"/>
    <col min="12757" max="13002" width="8.42578125" style="82"/>
    <col min="13003" max="13003" width="4.85546875" style="82" customWidth="1"/>
    <col min="13004" max="13004" width="40.7109375" style="82" customWidth="1"/>
    <col min="13005" max="13005" width="10.28515625" style="82" bestFit="1" customWidth="1"/>
    <col min="13006" max="13008" width="12.7109375" style="82" customWidth="1"/>
    <col min="13009" max="13009" width="14" style="82" customWidth="1"/>
    <col min="13010" max="13010" width="7.7109375" style="82" customWidth="1"/>
    <col min="13011" max="13012" width="12.7109375" style="82" customWidth="1"/>
    <col min="13013" max="13258" width="8.42578125" style="82"/>
    <col min="13259" max="13259" width="4.85546875" style="82" customWidth="1"/>
    <col min="13260" max="13260" width="40.7109375" style="82" customWidth="1"/>
    <col min="13261" max="13261" width="10.28515625" style="82" bestFit="1" customWidth="1"/>
    <col min="13262" max="13264" width="12.7109375" style="82" customWidth="1"/>
    <col min="13265" max="13265" width="14" style="82" customWidth="1"/>
    <col min="13266" max="13266" width="7.7109375" style="82" customWidth="1"/>
    <col min="13267" max="13268" width="12.7109375" style="82" customWidth="1"/>
    <col min="13269" max="13514" width="8.42578125" style="82"/>
    <col min="13515" max="13515" width="4.85546875" style="82" customWidth="1"/>
    <col min="13516" max="13516" width="40.7109375" style="82" customWidth="1"/>
    <col min="13517" max="13517" width="10.28515625" style="82" bestFit="1" customWidth="1"/>
    <col min="13518" max="13520" width="12.7109375" style="82" customWidth="1"/>
    <col min="13521" max="13521" width="14" style="82" customWidth="1"/>
    <col min="13522" max="13522" width="7.7109375" style="82" customWidth="1"/>
    <col min="13523" max="13524" width="12.7109375" style="82" customWidth="1"/>
    <col min="13525" max="13770" width="8.42578125" style="82"/>
    <col min="13771" max="13771" width="4.85546875" style="82" customWidth="1"/>
    <col min="13772" max="13772" width="40.7109375" style="82" customWidth="1"/>
    <col min="13773" max="13773" width="10.28515625" style="82" bestFit="1" customWidth="1"/>
    <col min="13774" max="13776" width="12.7109375" style="82" customWidth="1"/>
    <col min="13777" max="13777" width="14" style="82" customWidth="1"/>
    <col min="13778" max="13778" width="7.7109375" style="82" customWidth="1"/>
    <col min="13779" max="13780" width="12.7109375" style="82" customWidth="1"/>
    <col min="13781" max="14026" width="8.42578125" style="82"/>
    <col min="14027" max="14027" width="4.85546875" style="82" customWidth="1"/>
    <col min="14028" max="14028" width="40.7109375" style="82" customWidth="1"/>
    <col min="14029" max="14029" width="10.28515625" style="82" bestFit="1" customWidth="1"/>
    <col min="14030" max="14032" width="12.7109375" style="82" customWidth="1"/>
    <col min="14033" max="14033" width="14" style="82" customWidth="1"/>
    <col min="14034" max="14034" width="7.7109375" style="82" customWidth="1"/>
    <col min="14035" max="14036" width="12.7109375" style="82" customWidth="1"/>
    <col min="14037" max="14282" width="8.42578125" style="82"/>
    <col min="14283" max="14283" width="4.85546875" style="82" customWidth="1"/>
    <col min="14284" max="14284" width="40.7109375" style="82" customWidth="1"/>
    <col min="14285" max="14285" width="10.28515625" style="82" bestFit="1" customWidth="1"/>
    <col min="14286" max="14288" width="12.7109375" style="82" customWidth="1"/>
    <col min="14289" max="14289" width="14" style="82" customWidth="1"/>
    <col min="14290" max="14290" width="7.7109375" style="82" customWidth="1"/>
    <col min="14291" max="14292" width="12.7109375" style="82" customWidth="1"/>
    <col min="14293" max="14538" width="8.42578125" style="82"/>
    <col min="14539" max="14539" width="4.85546875" style="82" customWidth="1"/>
    <col min="14540" max="14540" width="40.7109375" style="82" customWidth="1"/>
    <col min="14541" max="14541" width="10.28515625" style="82" bestFit="1" customWidth="1"/>
    <col min="14542" max="14544" width="12.7109375" style="82" customWidth="1"/>
    <col min="14545" max="14545" width="14" style="82" customWidth="1"/>
    <col min="14546" max="14546" width="7.7109375" style="82" customWidth="1"/>
    <col min="14547" max="14548" width="12.7109375" style="82" customWidth="1"/>
    <col min="14549" max="14794" width="8.42578125" style="82"/>
    <col min="14795" max="14795" width="4.85546875" style="82" customWidth="1"/>
    <col min="14796" max="14796" width="40.7109375" style="82" customWidth="1"/>
    <col min="14797" max="14797" width="10.28515625" style="82" bestFit="1" customWidth="1"/>
    <col min="14798" max="14800" width="12.7109375" style="82" customWidth="1"/>
    <col min="14801" max="14801" width="14" style="82" customWidth="1"/>
    <col min="14802" max="14802" width="7.7109375" style="82" customWidth="1"/>
    <col min="14803" max="14804" width="12.7109375" style="82" customWidth="1"/>
    <col min="14805" max="15050" width="8.42578125" style="82"/>
    <col min="15051" max="15051" width="4.85546875" style="82" customWidth="1"/>
    <col min="15052" max="15052" width="40.7109375" style="82" customWidth="1"/>
    <col min="15053" max="15053" width="10.28515625" style="82" bestFit="1" customWidth="1"/>
    <col min="15054" max="15056" width="12.7109375" style="82" customWidth="1"/>
    <col min="15057" max="15057" width="14" style="82" customWidth="1"/>
    <col min="15058" max="15058" width="7.7109375" style="82" customWidth="1"/>
    <col min="15059" max="15060" width="12.7109375" style="82" customWidth="1"/>
    <col min="15061" max="15306" width="8.42578125" style="82"/>
    <col min="15307" max="15307" width="4.85546875" style="82" customWidth="1"/>
    <col min="15308" max="15308" width="40.7109375" style="82" customWidth="1"/>
    <col min="15309" max="15309" width="10.28515625" style="82" bestFit="1" customWidth="1"/>
    <col min="15310" max="15312" width="12.7109375" style="82" customWidth="1"/>
    <col min="15313" max="15313" width="14" style="82" customWidth="1"/>
    <col min="15314" max="15314" width="7.7109375" style="82" customWidth="1"/>
    <col min="15315" max="15316" width="12.7109375" style="82" customWidth="1"/>
    <col min="15317" max="15562" width="8.42578125" style="82"/>
    <col min="15563" max="15563" width="4.85546875" style="82" customWidth="1"/>
    <col min="15564" max="15564" width="40.7109375" style="82" customWidth="1"/>
    <col min="15565" max="15565" width="10.28515625" style="82" bestFit="1" customWidth="1"/>
    <col min="15566" max="15568" width="12.7109375" style="82" customWidth="1"/>
    <col min="15569" max="15569" width="14" style="82" customWidth="1"/>
    <col min="15570" max="15570" width="7.7109375" style="82" customWidth="1"/>
    <col min="15571" max="15572" width="12.7109375" style="82" customWidth="1"/>
    <col min="15573" max="15818" width="8.42578125" style="82"/>
    <col min="15819" max="15819" width="4.85546875" style="82" customWidth="1"/>
    <col min="15820" max="15820" width="40.7109375" style="82" customWidth="1"/>
    <col min="15821" max="15821" width="10.28515625" style="82" bestFit="1" customWidth="1"/>
    <col min="15822" max="15824" width="12.7109375" style="82" customWidth="1"/>
    <col min="15825" max="15825" width="14" style="82" customWidth="1"/>
    <col min="15826" max="15826" width="7.7109375" style="82" customWidth="1"/>
    <col min="15827" max="15828" width="12.7109375" style="82" customWidth="1"/>
    <col min="15829" max="16074" width="8.42578125" style="82"/>
    <col min="16075" max="16075" width="4.85546875" style="82" customWidth="1"/>
    <col min="16076" max="16076" width="40.7109375" style="82" customWidth="1"/>
    <col min="16077" max="16077" width="10.28515625" style="82" bestFit="1" customWidth="1"/>
    <col min="16078" max="16080" width="12.7109375" style="82" customWidth="1"/>
    <col min="16081" max="16081" width="14" style="82" customWidth="1"/>
    <col min="16082" max="16082" width="7.7109375" style="82" customWidth="1"/>
    <col min="16083" max="16084" width="12.7109375" style="82" customWidth="1"/>
    <col min="16085" max="16384" width="8.42578125" style="82"/>
  </cols>
  <sheetData>
    <row r="1" spans="1:12" ht="15" customHeight="1" thickBot="1" x14ac:dyDescent="0.35">
      <c r="A1" s="76" t="s">
        <v>81</v>
      </c>
      <c r="B1" s="77"/>
      <c r="C1" s="77"/>
      <c r="D1" s="77"/>
      <c r="E1" s="78" t="s">
        <v>82</v>
      </c>
      <c r="F1" s="77"/>
      <c r="G1" s="79"/>
      <c r="H1" s="77"/>
      <c r="I1" s="80"/>
      <c r="J1" s="81"/>
      <c r="L1" s="52" t="s">
        <v>211</v>
      </c>
    </row>
    <row r="2" spans="1:12" ht="15" customHeight="1" x14ac:dyDescent="0.3">
      <c r="A2" s="83" t="s">
        <v>83</v>
      </c>
      <c r="H2" s="84" t="s">
        <v>10</v>
      </c>
      <c r="I2" s="137">
        <f>+'G702'!I3</f>
        <v>17</v>
      </c>
      <c r="J2" s="85"/>
      <c r="L2" s="149">
        <f>+'G702'!P3</f>
        <v>0</v>
      </c>
    </row>
    <row r="3" spans="1:12" ht="15" customHeight="1" x14ac:dyDescent="0.2">
      <c r="A3" s="83" t="s">
        <v>84</v>
      </c>
      <c r="H3" s="84" t="s">
        <v>85</v>
      </c>
      <c r="I3" s="136">
        <f>+'G702'!I5</f>
        <v>46086</v>
      </c>
      <c r="J3" s="85"/>
    </row>
    <row r="4" spans="1:12" ht="15" customHeight="1" x14ac:dyDescent="0.2">
      <c r="A4" s="83" t="s">
        <v>86</v>
      </c>
      <c r="H4" s="84" t="s">
        <v>14</v>
      </c>
      <c r="I4" s="86">
        <f>+I3</f>
        <v>46086</v>
      </c>
      <c r="J4" s="85"/>
    </row>
    <row r="5" spans="1:12" ht="15" customHeight="1" x14ac:dyDescent="0.2">
      <c r="A5" s="83" t="s">
        <v>87</v>
      </c>
      <c r="H5" s="84" t="s">
        <v>88</v>
      </c>
      <c r="I5" s="87"/>
      <c r="J5" s="85"/>
    </row>
    <row r="7" spans="1:12" ht="15" customHeight="1" x14ac:dyDescent="0.2">
      <c r="A7" s="88" t="s">
        <v>89</v>
      </c>
      <c r="B7" s="89" t="s">
        <v>90</v>
      </c>
      <c r="C7" s="89" t="s">
        <v>91</v>
      </c>
      <c r="D7" s="89" t="s">
        <v>92</v>
      </c>
      <c r="E7" s="89" t="s">
        <v>93</v>
      </c>
      <c r="F7" s="89" t="s">
        <v>94</v>
      </c>
      <c r="G7" s="90" t="s">
        <v>95</v>
      </c>
      <c r="H7" s="91"/>
      <c r="I7" s="90" t="s">
        <v>96</v>
      </c>
      <c r="J7" s="92" t="s">
        <v>97</v>
      </c>
    </row>
    <row r="8" spans="1:12" ht="15" customHeight="1" x14ac:dyDescent="0.2">
      <c r="A8" s="93"/>
      <c r="B8" s="94"/>
      <c r="C8" s="94"/>
      <c r="D8" s="95" t="s">
        <v>101</v>
      </c>
      <c r="E8" s="96"/>
      <c r="F8" s="94" t="s">
        <v>102</v>
      </c>
      <c r="G8" s="94" t="s">
        <v>103</v>
      </c>
      <c r="H8" s="94"/>
      <c r="I8" s="97"/>
      <c r="J8" s="98"/>
    </row>
    <row r="9" spans="1:12" ht="15" customHeight="1" x14ac:dyDescent="0.2">
      <c r="A9" s="93" t="s">
        <v>98</v>
      </c>
      <c r="B9" s="94" t="s">
        <v>99</v>
      </c>
      <c r="C9" s="94" t="s">
        <v>100</v>
      </c>
      <c r="D9" s="94" t="s">
        <v>109</v>
      </c>
      <c r="E9" s="94"/>
      <c r="F9" s="94" t="s">
        <v>111</v>
      </c>
      <c r="G9" s="94" t="s">
        <v>112</v>
      </c>
      <c r="H9" s="94" t="s">
        <v>104</v>
      </c>
      <c r="I9" s="97" t="s">
        <v>105</v>
      </c>
      <c r="J9" s="98" t="s">
        <v>106</v>
      </c>
    </row>
    <row r="10" spans="1:12" ht="15" customHeight="1" x14ac:dyDescent="0.2">
      <c r="A10" s="99" t="s">
        <v>107</v>
      </c>
      <c r="B10" s="100"/>
      <c r="C10" s="94" t="s">
        <v>108</v>
      </c>
      <c r="D10" s="94" t="s">
        <v>115</v>
      </c>
      <c r="E10" s="94" t="s">
        <v>110</v>
      </c>
      <c r="F10" s="94" t="s">
        <v>116</v>
      </c>
      <c r="G10" s="94" t="s">
        <v>117</v>
      </c>
      <c r="H10" s="94" t="s">
        <v>113</v>
      </c>
      <c r="I10" s="97" t="s">
        <v>148</v>
      </c>
      <c r="J10" s="101" t="s">
        <v>114</v>
      </c>
    </row>
    <row r="11" spans="1:12" ht="15" customHeight="1" x14ac:dyDescent="0.2">
      <c r="A11" s="102"/>
      <c r="B11" s="100"/>
      <c r="C11" s="100"/>
      <c r="D11" s="94" t="s">
        <v>120</v>
      </c>
      <c r="E11" s="100"/>
      <c r="F11" s="94" t="s">
        <v>121</v>
      </c>
      <c r="G11" s="94" t="s">
        <v>122</v>
      </c>
      <c r="H11" s="100"/>
      <c r="I11" s="97" t="s">
        <v>118</v>
      </c>
      <c r="J11" s="98" t="s">
        <v>119</v>
      </c>
    </row>
    <row r="12" spans="1:12" ht="15" customHeight="1" x14ac:dyDescent="0.2">
      <c r="A12" s="103"/>
      <c r="B12" s="104"/>
      <c r="C12" s="104"/>
      <c r="D12" s="104"/>
      <c r="E12" s="104"/>
      <c r="F12" s="105" t="s">
        <v>123</v>
      </c>
      <c r="G12" s="105" t="s">
        <v>124</v>
      </c>
      <c r="H12" s="104"/>
      <c r="I12" s="104"/>
      <c r="J12" s="106"/>
    </row>
    <row r="13" spans="1:12" ht="15" customHeight="1" x14ac:dyDescent="0.2">
      <c r="A13" s="107">
        <v>1</v>
      </c>
      <c r="B13" s="108" t="s">
        <v>130</v>
      </c>
      <c r="C13" s="138">
        <v>650000</v>
      </c>
      <c r="D13" s="142">
        <f>+SUMIFS('Boulder Invoice'!$H:$H,'Boulder Invoice'!$B:$B,"&lt;"&amp;$I$2,'Boulder Invoice'!$E:$E,$A13)</f>
        <v>603546.79825000139</v>
      </c>
      <c r="E13" s="142">
        <f>+SUMIFS('Boulder Invoice'!$H:$H,'Boulder Invoice'!$B:$B,$I$2,'Boulder Invoice'!$E:$E,$A13)</f>
        <v>26201.96</v>
      </c>
      <c r="F13" s="138">
        <v>0</v>
      </c>
      <c r="G13" s="110">
        <f>+SUM(D13,E13,F13)</f>
        <v>629748.75825000135</v>
      </c>
      <c r="H13" s="111">
        <f>+IFERROR(G13/C13,0)</f>
        <v>0.96884424346154052</v>
      </c>
      <c r="I13" s="110">
        <f>+C13-G13</f>
        <v>20251.241749998648</v>
      </c>
      <c r="J13" s="142">
        <f>+SUMIFS('Boulder Invoice'!$I:$I,'Boulder Invoice'!$B:$B,"&lt;="&amp;$I$2,'Boulder Invoice'!$E:$E,$A13)</f>
        <v>0</v>
      </c>
    </row>
    <row r="14" spans="1:12" ht="15" customHeight="1" x14ac:dyDescent="0.2">
      <c r="A14" s="107">
        <v>2</v>
      </c>
      <c r="B14" s="108" t="s">
        <v>131</v>
      </c>
      <c r="C14" s="138">
        <v>886000</v>
      </c>
      <c r="D14" s="142">
        <f>+SUMIFS('Boulder Invoice'!$H:$H,'Boulder Invoice'!$B:$B,"&lt;"&amp;$I$2,'Boulder Invoice'!$E:$E,$A14)</f>
        <v>886000.00430555583</v>
      </c>
      <c r="E14" s="142">
        <f>+SUMIFS('Boulder Invoice'!$H:$H,'Boulder Invoice'!$B:$B,$I$2,'Boulder Invoice'!$E:$E,$A14)</f>
        <v>0</v>
      </c>
      <c r="F14" s="138">
        <v>0</v>
      </c>
      <c r="G14" s="110">
        <f t="shared" ref="G14:G30" si="0">+SUM(D14,E14,F14)</f>
        <v>886000.00430555583</v>
      </c>
      <c r="H14" s="111">
        <f t="shared" ref="H14:H32" si="1">+IFERROR(G14/C14,0)</f>
        <v>1.0000000048595439</v>
      </c>
      <c r="I14" s="110">
        <f t="shared" ref="I14:I30" si="2">+C14-G14</f>
        <v>-4.3055558344349265E-3</v>
      </c>
      <c r="J14" s="142">
        <f>+SUMIFS('Boulder Invoice'!$I:$I,'Boulder Invoice'!$B:$B,"&lt;="&amp;$I$2,'Boulder Invoice'!$E:$E,$A14)</f>
        <v>13347.745555555555</v>
      </c>
      <c r="K14" s="113"/>
      <c r="L14" s="157"/>
    </row>
    <row r="15" spans="1:12" ht="15" customHeight="1" x14ac:dyDescent="0.2">
      <c r="A15" s="107">
        <v>3</v>
      </c>
      <c r="B15" s="108" t="s">
        <v>132</v>
      </c>
      <c r="C15" s="138">
        <v>1074000</v>
      </c>
      <c r="D15" s="142">
        <f>+SUMIFS('Boulder Invoice'!$H:$H,'Boulder Invoice'!$B:$B,"&lt;"&amp;$I$2,'Boulder Invoice'!$E:$E,$A15)</f>
        <v>952636.72000000009</v>
      </c>
      <c r="E15" s="142">
        <f>+SUMIFS('Boulder Invoice'!$H:$H,'Boulder Invoice'!$B:$B,$I$2,'Boulder Invoice'!$E:$E,$A15)</f>
        <v>84710.29</v>
      </c>
      <c r="F15" s="138">
        <v>0</v>
      </c>
      <c r="G15" s="110">
        <f t="shared" si="0"/>
        <v>1037347.0100000001</v>
      </c>
      <c r="H15" s="111">
        <f t="shared" si="1"/>
        <v>0.96587244878957179</v>
      </c>
      <c r="I15" s="110">
        <f t="shared" si="2"/>
        <v>36652.989999999874</v>
      </c>
      <c r="J15" s="142">
        <f>+SUMIFS('Boulder Invoice'!$I:$I,'Boulder Invoice'!$B:$B,"&lt;="&amp;$I$2,'Boulder Invoice'!$E:$E,$A15)</f>
        <v>47363</v>
      </c>
    </row>
    <row r="16" spans="1:12" ht="15" customHeight="1" x14ac:dyDescent="0.2">
      <c r="A16" s="107">
        <v>4</v>
      </c>
      <c r="B16" s="108" t="s">
        <v>133</v>
      </c>
      <c r="C16" s="138">
        <v>9000</v>
      </c>
      <c r="D16" s="142">
        <f>+SUMIFS('Boulder Invoice'!$H:$H,'Boulder Invoice'!$B:$B,"&lt;"&amp;$I$2,'Boulder Invoice'!$E:$E,$A16)</f>
        <v>8964.51</v>
      </c>
      <c r="E16" s="142">
        <f>+SUMIFS('Boulder Invoice'!$H:$H,'Boulder Invoice'!$B:$B,$I$2,'Boulder Invoice'!$E:$E,$A16)</f>
        <v>0</v>
      </c>
      <c r="F16" s="138">
        <v>0</v>
      </c>
      <c r="G16" s="110">
        <f t="shared" si="0"/>
        <v>8964.51</v>
      </c>
      <c r="H16" s="111">
        <f t="shared" si="1"/>
        <v>0.9960566666666667</v>
      </c>
      <c r="I16" s="110">
        <f t="shared" si="2"/>
        <v>35.489999999999782</v>
      </c>
      <c r="J16" s="142">
        <f>+SUMIFS('Boulder Invoice'!$I:$I,'Boulder Invoice'!$B:$B,"&lt;="&amp;$I$2,'Boulder Invoice'!$E:$E,$A16)</f>
        <v>800</v>
      </c>
    </row>
    <row r="17" spans="1:12" ht="15" customHeight="1" x14ac:dyDescent="0.2">
      <c r="A17" s="107">
        <v>5</v>
      </c>
      <c r="B17" s="108" t="s">
        <v>134</v>
      </c>
      <c r="C17" s="138">
        <v>155000</v>
      </c>
      <c r="D17" s="142">
        <f>+SUMIFS('Boulder Invoice'!$H:$H,'Boulder Invoice'!$B:$B,"&lt;"&amp;$I$2,'Boulder Invoice'!$E:$E,$A17)</f>
        <v>92352.34</v>
      </c>
      <c r="E17" s="142">
        <f>+SUMIFS('Boulder Invoice'!$H:$H,'Boulder Invoice'!$B:$B,$I$2,'Boulder Invoice'!$E:$E,$A17)</f>
        <v>8284.5699999999924</v>
      </c>
      <c r="F17" s="138">
        <v>0</v>
      </c>
      <c r="G17" s="110">
        <f t="shared" si="0"/>
        <v>100636.90999999999</v>
      </c>
      <c r="H17" s="111">
        <f t="shared" si="1"/>
        <v>0.64927038709677409</v>
      </c>
      <c r="I17" s="110">
        <f t="shared" si="2"/>
        <v>54363.090000000011</v>
      </c>
      <c r="J17" s="142">
        <f>+SUMIFS('Boulder Invoice'!$I:$I,'Boulder Invoice'!$B:$B,"&lt;="&amp;$I$2,'Boulder Invoice'!$E:$E,$A17)</f>
        <v>5167.5</v>
      </c>
    </row>
    <row r="18" spans="1:12" ht="15" customHeight="1" x14ac:dyDescent="0.2">
      <c r="A18" s="107">
        <v>6</v>
      </c>
      <c r="B18" s="108" t="s">
        <v>135</v>
      </c>
      <c r="C18" s="138">
        <v>1301000</v>
      </c>
      <c r="D18" s="142">
        <f>+SUMIFS('Boulder Invoice'!$H:$H,'Boulder Invoice'!$B:$B,"&lt;"&amp;$I$2,'Boulder Invoice'!$E:$E,$A18)</f>
        <v>1301000.0000000019</v>
      </c>
      <c r="E18" s="142">
        <f>+SUMIFS('Boulder Invoice'!$H:$H,'Boulder Invoice'!$B:$B,$I$2,'Boulder Invoice'!$E:$E,$A18)</f>
        <v>0</v>
      </c>
      <c r="F18" s="138">
        <v>0</v>
      </c>
      <c r="G18" s="110">
        <f t="shared" si="0"/>
        <v>1301000.0000000019</v>
      </c>
      <c r="H18" s="111">
        <f t="shared" si="1"/>
        <v>1.0000000000000013</v>
      </c>
      <c r="I18" s="110">
        <f t="shared" si="2"/>
        <v>-1.862645149230957E-9</v>
      </c>
      <c r="J18" s="142">
        <f>+SUMIFS('Boulder Invoice'!$I:$I,'Boulder Invoice'!$B:$B,"&lt;="&amp;$I$2,'Boulder Invoice'!$E:$E,$A18)</f>
        <v>37147.813000000002</v>
      </c>
    </row>
    <row r="19" spans="1:12" ht="15" customHeight="1" x14ac:dyDescent="0.2">
      <c r="A19" s="107">
        <v>7</v>
      </c>
      <c r="B19" s="108" t="s">
        <v>136</v>
      </c>
      <c r="C19" s="138">
        <v>1006000</v>
      </c>
      <c r="D19" s="142">
        <f>+SUMIFS('Boulder Invoice'!$H:$H,'Boulder Invoice'!$B:$B,"&lt;"&amp;$I$2,'Boulder Invoice'!$E:$E,$A19)</f>
        <v>971543.16555555584</v>
      </c>
      <c r="E19" s="142">
        <f>+SUMIFS('Boulder Invoice'!$H:$H,'Boulder Invoice'!$B:$B,$I$2,'Boulder Invoice'!$E:$E,$A19)</f>
        <v>22887.23</v>
      </c>
      <c r="F19" s="138">
        <v>0</v>
      </c>
      <c r="G19" s="110">
        <f t="shared" si="0"/>
        <v>994430.39555555582</v>
      </c>
      <c r="H19" s="111">
        <f t="shared" si="1"/>
        <v>0.98849939916059226</v>
      </c>
      <c r="I19" s="110">
        <f t="shared" si="2"/>
        <v>11569.60444444418</v>
      </c>
      <c r="J19" s="142">
        <f>+SUMIFS('Boulder Invoice'!$I:$I,'Boulder Invoice'!$B:$B,"&lt;="&amp;$I$2,'Boulder Invoice'!$E:$E,$A19)</f>
        <v>81440.493222222212</v>
      </c>
    </row>
    <row r="20" spans="1:12" ht="15" customHeight="1" x14ac:dyDescent="0.2">
      <c r="A20" s="107">
        <v>8</v>
      </c>
      <c r="B20" s="108" t="s">
        <v>137</v>
      </c>
      <c r="C20" s="138">
        <v>805000</v>
      </c>
      <c r="D20" s="142">
        <f>+SUMIFS('Boulder Invoice'!$H:$H,'Boulder Invoice'!$B:$B,"&lt;"&amp;$I$2,'Boulder Invoice'!$E:$E,$A20)</f>
        <v>517620.48000000004</v>
      </c>
      <c r="E20" s="142">
        <f>+SUMIFS('Boulder Invoice'!$H:$H,'Boulder Invoice'!$B:$B,$I$2,'Boulder Invoice'!$E:$E,$A20)</f>
        <v>167429.51999999999</v>
      </c>
      <c r="F20" s="138">
        <v>0</v>
      </c>
      <c r="G20" s="110">
        <f t="shared" si="0"/>
        <v>685050</v>
      </c>
      <c r="H20" s="111">
        <f t="shared" si="1"/>
        <v>0.85099378881987575</v>
      </c>
      <c r="I20" s="110">
        <f t="shared" si="2"/>
        <v>119950</v>
      </c>
      <c r="J20" s="142">
        <f>+SUMIFS('Boulder Invoice'!$I:$I,'Boulder Invoice'!$B:$B,"&lt;="&amp;$I$2,'Boulder Invoice'!$E:$E,$A20)</f>
        <v>1887.5</v>
      </c>
    </row>
    <row r="21" spans="1:12" ht="15" customHeight="1" x14ac:dyDescent="0.2">
      <c r="A21" s="107">
        <v>9</v>
      </c>
      <c r="B21" s="108" t="s">
        <v>138</v>
      </c>
      <c r="C21" s="138">
        <v>1040000</v>
      </c>
      <c r="D21" s="142">
        <f>+SUMIFS('Boulder Invoice'!$H:$H,'Boulder Invoice'!$B:$B,"&lt;"&amp;$I$2,'Boulder Invoice'!$E:$E,$A21)</f>
        <v>899100.25999999954</v>
      </c>
      <c r="E21" s="142">
        <f>+SUMIFS('Boulder Invoice'!$H:$H,'Boulder Invoice'!$B:$B,$I$2,'Boulder Invoice'!$E:$E,$A21)</f>
        <v>67800.31</v>
      </c>
      <c r="F21" s="138">
        <v>0</v>
      </c>
      <c r="G21" s="110">
        <f t="shared" si="0"/>
        <v>966900.5699999996</v>
      </c>
      <c r="H21" s="111">
        <f t="shared" si="1"/>
        <v>0.92971208653846116</v>
      </c>
      <c r="I21" s="110">
        <f t="shared" si="2"/>
        <v>73099.4300000004</v>
      </c>
      <c r="J21" s="142">
        <f>+SUMIFS('Boulder Invoice'!$I:$I,'Boulder Invoice'!$B:$B,"&lt;="&amp;$I$2,'Boulder Invoice'!$E:$E,$A21)</f>
        <v>66615</v>
      </c>
    </row>
    <row r="22" spans="1:12" ht="15" customHeight="1" x14ac:dyDescent="0.2">
      <c r="A22" s="107">
        <v>10</v>
      </c>
      <c r="B22" s="108" t="s">
        <v>139</v>
      </c>
      <c r="C22" s="138">
        <v>430000</v>
      </c>
      <c r="D22" s="142">
        <f>+SUMIFS('Boulder Invoice'!$H:$H,'Boulder Invoice'!$B:$B,"&lt;"&amp;$I$2,'Boulder Invoice'!$E:$E,$A22)</f>
        <v>392687.32999999996</v>
      </c>
      <c r="E22" s="142">
        <f>+SUMIFS('Boulder Invoice'!$H:$H,'Boulder Invoice'!$B:$B,$I$2,'Boulder Invoice'!$E:$E,$A22)</f>
        <v>12912.44</v>
      </c>
      <c r="F22" s="138">
        <v>0</v>
      </c>
      <c r="G22" s="110">
        <f t="shared" si="0"/>
        <v>405599.76999999996</v>
      </c>
      <c r="H22" s="111">
        <f t="shared" si="1"/>
        <v>0.94325527906976736</v>
      </c>
      <c r="I22" s="110">
        <f t="shared" si="2"/>
        <v>24400.23000000004</v>
      </c>
      <c r="J22" s="142">
        <f>+SUMIFS('Boulder Invoice'!$I:$I,'Boulder Invoice'!$B:$B,"&lt;="&amp;$I$2,'Boulder Invoice'!$E:$E,$A22)</f>
        <v>0</v>
      </c>
    </row>
    <row r="23" spans="1:12" ht="15" customHeight="1" x14ac:dyDescent="0.2">
      <c r="A23" s="107">
        <v>11</v>
      </c>
      <c r="B23" s="108" t="s">
        <v>140</v>
      </c>
      <c r="C23" s="138">
        <v>290000</v>
      </c>
      <c r="D23" s="142">
        <f>+SUMIFS('Boulder Invoice'!$H:$H,'Boulder Invoice'!$B:$B,"&lt;"&amp;$I$2,'Boulder Invoice'!$E:$E,$A23)</f>
        <v>182625.91999999995</v>
      </c>
      <c r="E23" s="142">
        <f>+SUMIFS('Boulder Invoice'!$H:$H,'Boulder Invoice'!$B:$B,$I$2,'Boulder Invoice'!$E:$E,$A23)</f>
        <v>41539.630000000005</v>
      </c>
      <c r="F23" s="138">
        <v>0</v>
      </c>
      <c r="G23" s="110">
        <f t="shared" si="0"/>
        <v>224165.54999999996</v>
      </c>
      <c r="H23" s="111">
        <f t="shared" si="1"/>
        <v>0.77298465517241366</v>
      </c>
      <c r="I23" s="110">
        <f t="shared" si="2"/>
        <v>65834.450000000041</v>
      </c>
      <c r="J23" s="142">
        <f>+SUMIFS('Boulder Invoice'!$I:$I,'Boulder Invoice'!$B:$B,"&lt;="&amp;$I$2,'Boulder Invoice'!$E:$E,$A23)</f>
        <v>0</v>
      </c>
    </row>
    <row r="24" spans="1:12" ht="15" customHeight="1" x14ac:dyDescent="0.2">
      <c r="A24" s="107">
        <v>12</v>
      </c>
      <c r="B24" s="108" t="s">
        <v>141</v>
      </c>
      <c r="C24" s="138">
        <v>215000</v>
      </c>
      <c r="D24" s="142">
        <f>+SUMIFS('Boulder Invoice'!$H:$H,'Boulder Invoice'!$B:$B,"&lt;"&amp;$I$2,'Boulder Invoice'!$E:$E,$A24)</f>
        <v>130472.61888888889</v>
      </c>
      <c r="E24" s="142">
        <f>+SUMIFS('Boulder Invoice'!$H:$H,'Boulder Invoice'!$B:$B,$I$2,'Boulder Invoice'!$E:$E,$A24)</f>
        <v>76391.08</v>
      </c>
      <c r="F24" s="138">
        <v>0</v>
      </c>
      <c r="G24" s="110">
        <f t="shared" si="0"/>
        <v>206863.69888888887</v>
      </c>
      <c r="H24" s="111">
        <f t="shared" si="1"/>
        <v>0.96215673901808774</v>
      </c>
      <c r="I24" s="110">
        <f t="shared" si="2"/>
        <v>8136.3011111111264</v>
      </c>
      <c r="J24" s="142">
        <f>+SUMIFS('Boulder Invoice'!$I:$I,'Boulder Invoice'!$B:$B,"&lt;="&amp;$I$2,'Boulder Invoice'!$E:$E,$A24)</f>
        <v>14294.598888888888</v>
      </c>
    </row>
    <row r="25" spans="1:12" ht="15" customHeight="1" x14ac:dyDescent="0.2">
      <c r="A25" s="107">
        <v>13</v>
      </c>
      <c r="B25" s="108" t="s">
        <v>142</v>
      </c>
      <c r="C25" s="138">
        <v>270000</v>
      </c>
      <c r="D25" s="142">
        <f>+SUMIFS('Boulder Invoice'!$H:$H,'Boulder Invoice'!$B:$B,"&lt;"&amp;$I$2,'Boulder Invoice'!$E:$E,$A25)</f>
        <v>270000</v>
      </c>
      <c r="E25" s="142">
        <f>+SUMIFS('Boulder Invoice'!$H:$H,'Boulder Invoice'!$B:$B,$I$2,'Boulder Invoice'!$E:$E,$A25)</f>
        <v>0</v>
      </c>
      <c r="F25" s="138">
        <v>0</v>
      </c>
      <c r="G25" s="110">
        <f t="shared" si="0"/>
        <v>270000</v>
      </c>
      <c r="H25" s="111">
        <f t="shared" si="1"/>
        <v>1</v>
      </c>
      <c r="I25" s="110">
        <f t="shared" si="2"/>
        <v>0</v>
      </c>
      <c r="J25" s="142">
        <f>+SUMIFS('Boulder Invoice'!$I:$I,'Boulder Invoice'!$B:$B,"&lt;="&amp;$I$2,'Boulder Invoice'!$E:$E,$A25)</f>
        <v>25820.000000000004</v>
      </c>
    </row>
    <row r="26" spans="1:12" ht="15" customHeight="1" x14ac:dyDescent="0.2">
      <c r="A26" s="107">
        <v>14</v>
      </c>
      <c r="B26" s="108" t="s">
        <v>143</v>
      </c>
      <c r="C26" s="138">
        <v>197000</v>
      </c>
      <c r="D26" s="142">
        <f>+SUMIFS('Boulder Invoice'!$H:$H,'Boulder Invoice'!$B:$B,"&lt;"&amp;$I$2,'Boulder Invoice'!$E:$E,$A26)</f>
        <v>197000</v>
      </c>
      <c r="E26" s="142">
        <f>+SUMIFS('Boulder Invoice'!$H:$H,'Boulder Invoice'!$B:$B,$I$2,'Boulder Invoice'!$E:$E,$A26)</f>
        <v>0</v>
      </c>
      <c r="F26" s="138">
        <v>0</v>
      </c>
      <c r="G26" s="110">
        <f t="shared" si="0"/>
        <v>197000</v>
      </c>
      <c r="H26" s="111">
        <f t="shared" si="1"/>
        <v>1</v>
      </c>
      <c r="I26" s="110">
        <f t="shared" si="2"/>
        <v>0</v>
      </c>
      <c r="J26" s="142">
        <f>+SUMIFS('Boulder Invoice'!$I:$I,'Boulder Invoice'!$B:$B,"&lt;="&amp;$I$2,'Boulder Invoice'!$E:$E,$A26)</f>
        <v>19700</v>
      </c>
    </row>
    <row r="27" spans="1:12" ht="15" customHeight="1" x14ac:dyDescent="0.2">
      <c r="A27" s="107">
        <v>15</v>
      </c>
      <c r="B27" s="108" t="s">
        <v>144</v>
      </c>
      <c r="C27" s="138">
        <v>1891000</v>
      </c>
      <c r="D27" s="142">
        <f>+SUMIFS('Boulder Invoice'!$H:$H,'Boulder Invoice'!$B:$B,"&lt;"&amp;$I$2,'Boulder Invoice'!$E:$E,$A27)</f>
        <v>1705404.8733333331</v>
      </c>
      <c r="E27" s="142">
        <f>+SUMIFS('Boulder Invoice'!$H:$H,'Boulder Invoice'!$B:$B,$I$2,'Boulder Invoice'!$E:$E,$A27)</f>
        <v>183001.41</v>
      </c>
      <c r="F27" s="138">
        <v>0</v>
      </c>
      <c r="G27" s="110">
        <f t="shared" si="0"/>
        <v>1888406.283333333</v>
      </c>
      <c r="H27" s="111">
        <f t="shared" si="1"/>
        <v>0.99862838885950977</v>
      </c>
      <c r="I27" s="110">
        <f t="shared" si="2"/>
        <v>2593.7166666670237</v>
      </c>
      <c r="J27" s="142">
        <f>+SUMIFS('Boulder Invoice'!$I:$I,'Boulder Invoice'!$B:$B,"&lt;="&amp;$I$2,'Boulder Invoice'!$E:$E,$A27)</f>
        <v>157843.02300000002</v>
      </c>
    </row>
    <row r="28" spans="1:12" ht="15" customHeight="1" x14ac:dyDescent="0.2">
      <c r="A28" s="107">
        <v>16</v>
      </c>
      <c r="B28" s="108" t="s">
        <v>145</v>
      </c>
      <c r="C28" s="138">
        <v>1189000</v>
      </c>
      <c r="D28" s="142">
        <f>+SUMIFS('Boulder Invoice'!$H:$H,'Boulder Invoice'!$B:$B,"&lt;"&amp;$I$2,'Boulder Invoice'!$E:$E,$A28)</f>
        <v>1107040.1133333335</v>
      </c>
      <c r="E28" s="142">
        <f>+SUMIFS('Boulder Invoice'!$H:$H,'Boulder Invoice'!$B:$B,$I$2,'Boulder Invoice'!$E:$E,$A28)</f>
        <v>62798.31</v>
      </c>
      <c r="F28" s="138">
        <v>0</v>
      </c>
      <c r="G28" s="110">
        <f t="shared" si="0"/>
        <v>1169838.4233333336</v>
      </c>
      <c r="H28" s="111">
        <f t="shared" si="1"/>
        <v>0.98388429212223172</v>
      </c>
      <c r="I28" s="110">
        <f t="shared" si="2"/>
        <v>19161.576666666428</v>
      </c>
      <c r="J28" s="142">
        <f>+SUMIFS('Boulder Invoice'!$I:$I,'Boulder Invoice'!$B:$B,"&lt;="&amp;$I$2,'Boulder Invoice'!$E:$E,$A28)</f>
        <v>39920</v>
      </c>
    </row>
    <row r="29" spans="1:12" ht="15" customHeight="1" x14ac:dyDescent="0.2">
      <c r="A29" s="107">
        <v>17</v>
      </c>
      <c r="B29" s="108" t="s">
        <v>146</v>
      </c>
      <c r="C29" s="138">
        <v>92000</v>
      </c>
      <c r="D29" s="142">
        <f>+SUMIFS('Boulder Invoice'!$H:$H,'Boulder Invoice'!$B:$B,"&lt;"&amp;$I$2,'Boulder Invoice'!$E:$E,$A29)</f>
        <v>88359.9</v>
      </c>
      <c r="E29" s="142">
        <f>+SUMIFS('Boulder Invoice'!$H:$H,'Boulder Invoice'!$B:$B,$I$2,'Boulder Invoice'!$E:$E,$A29)</f>
        <v>3640.1000000000058</v>
      </c>
      <c r="F29" s="138">
        <v>0</v>
      </c>
      <c r="G29" s="110">
        <f t="shared" si="0"/>
        <v>92000</v>
      </c>
      <c r="H29" s="111">
        <f t="shared" si="1"/>
        <v>1</v>
      </c>
      <c r="I29" s="110">
        <f t="shared" si="2"/>
        <v>0</v>
      </c>
      <c r="J29" s="142">
        <f>+SUMIFS('Boulder Invoice'!$I:$I,'Boulder Invoice'!$B:$B,"&lt;="&amp;$I$2,'Boulder Invoice'!$E:$E,$A29)</f>
        <v>0</v>
      </c>
    </row>
    <row r="30" spans="1:12" ht="15" customHeight="1" x14ac:dyDescent="0.2">
      <c r="A30" s="107">
        <v>18</v>
      </c>
      <c r="B30" s="108" t="s">
        <v>147</v>
      </c>
      <c r="C30" s="138">
        <v>300000</v>
      </c>
      <c r="D30" s="142">
        <f>+SUMIFS('Boulder Invoice'!$H:$H,'Boulder Invoice'!$B:$B,"&lt;"&amp;$I$2,'Boulder Invoice'!$E:$E,$A30)</f>
        <v>283333.33333333331</v>
      </c>
      <c r="E30" s="142">
        <f>+SUMIFS('Boulder Invoice'!$H:$H,'Boulder Invoice'!$B:$B,$I$2,'Boulder Invoice'!$E:$E,$A30)</f>
        <v>0</v>
      </c>
      <c r="F30" s="138">
        <v>0</v>
      </c>
      <c r="G30" s="110">
        <f t="shared" si="0"/>
        <v>283333.33333333331</v>
      </c>
      <c r="H30" s="111">
        <f t="shared" si="1"/>
        <v>0.94444444444444442</v>
      </c>
      <c r="I30" s="110">
        <f t="shared" si="2"/>
        <v>16666.666666666686</v>
      </c>
      <c r="J30" s="142">
        <f>+SUMIFS('Boulder Invoice'!$I:$I,'Boulder Invoice'!$B:$B,"&lt;="&amp;$I$2,'Boulder Invoice'!$E:$E,$A30)</f>
        <v>28333.333333333347</v>
      </c>
    </row>
    <row r="31" spans="1:12" ht="15" customHeight="1" x14ac:dyDescent="0.2">
      <c r="A31" s="107"/>
      <c r="B31" s="107"/>
      <c r="C31" s="109"/>
      <c r="D31" s="109"/>
      <c r="E31" s="109"/>
      <c r="F31" s="109"/>
      <c r="G31" s="110"/>
      <c r="H31" s="112"/>
      <c r="I31" s="110"/>
      <c r="J31" s="114"/>
    </row>
    <row r="32" spans="1:12" ht="15" customHeight="1" x14ac:dyDescent="0.3">
      <c r="A32" s="115"/>
      <c r="B32" s="116" t="s">
        <v>129</v>
      </c>
      <c r="C32" s="117">
        <f>+SUM(C13:C31)</f>
        <v>11800000</v>
      </c>
      <c r="D32" s="117">
        <f t="shared" ref="D32:J32" si="3">+SUM(D13:D31)</f>
        <v>10589688.367000004</v>
      </c>
      <c r="E32" s="117">
        <f t="shared" si="3"/>
        <v>757596.85</v>
      </c>
      <c r="F32" s="117">
        <f t="shared" si="3"/>
        <v>0</v>
      </c>
      <c r="G32" s="117">
        <f t="shared" si="3"/>
        <v>11347285.217000004</v>
      </c>
      <c r="H32" s="118">
        <f t="shared" si="1"/>
        <v>0.96163434042372919</v>
      </c>
      <c r="I32" s="117">
        <f t="shared" si="3"/>
        <v>452714.78299999679</v>
      </c>
      <c r="J32" s="117">
        <f t="shared" si="3"/>
        <v>539680.0070000001</v>
      </c>
      <c r="L32"/>
    </row>
    <row r="33" spans="1:10" ht="15" customHeight="1" x14ac:dyDescent="0.2">
      <c r="A33" s="119" t="s">
        <v>125</v>
      </c>
      <c r="B33" s="120"/>
      <c r="C33" s="120"/>
      <c r="D33" s="120"/>
      <c r="E33" s="120"/>
      <c r="F33" s="120"/>
      <c r="G33" s="121"/>
      <c r="H33" s="122"/>
      <c r="I33" s="121"/>
      <c r="J33" s="121"/>
    </row>
  </sheetData>
  <conditionalFormatting sqref="A1:J34">
    <cfRule type="expression" dxfId="3" priority="1">
      <formula>$L$2=1</formula>
    </cfRule>
  </conditionalFormatting>
  <pageMargins left="0.25" right="0.25" top="0.5" bottom="0.5" header="0.25" footer="0.25"/>
  <pageSetup orientation="landscape" r:id="rId1"/>
  <ignoredErrors>
    <ignoredError sqref="D13:D30 E13:E30 J13:J30 I2 L2 I3:I4" unlockedFormula="1"/>
    <ignoredError sqref="H32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48643-7878-4686-B99A-AA6EA5F313FE}">
  <sheetPr>
    <pageSetUpPr fitToPage="1"/>
  </sheetPr>
  <dimension ref="B2:N1750"/>
  <sheetViews>
    <sheetView showGridLines="0" view="pageBreakPreview" zoomScale="80" zoomScaleNormal="80" zoomScaleSheetLayoutView="80" workbookViewId="0"/>
  </sheetViews>
  <sheetFormatPr defaultRowHeight="15" customHeight="1" x14ac:dyDescent="0.3"/>
  <cols>
    <col min="1" max="1" width="3.7109375" customWidth="1"/>
    <col min="3" max="4" width="3.7109375" customWidth="1"/>
    <col min="5" max="5" width="12.7109375" customWidth="1"/>
    <col min="6" max="6" width="54.28515625" bestFit="1" customWidth="1"/>
    <col min="7" max="7" width="87.42578125" bestFit="1" customWidth="1"/>
    <col min="8" max="10" width="15.7109375" customWidth="1"/>
    <col min="11" max="11" width="3.7109375" customWidth="1"/>
    <col min="13" max="13" width="10.85546875" style="52" bestFit="1" customWidth="1"/>
  </cols>
  <sheetData>
    <row r="2" spans="5:13" ht="15" customHeight="1" x14ac:dyDescent="0.3">
      <c r="M2" s="52" t="s">
        <v>211</v>
      </c>
    </row>
    <row r="3" spans="5:13" ht="15" customHeight="1" x14ac:dyDescent="0.3">
      <c r="M3" s="148">
        <f>+'G702'!P3</f>
        <v>0</v>
      </c>
    </row>
    <row r="6" spans="5:13" ht="15" customHeight="1" x14ac:dyDescent="0.3">
      <c r="E6" s="50" t="s">
        <v>150</v>
      </c>
      <c r="J6" s="51" t="s">
        <v>170</v>
      </c>
    </row>
    <row r="7" spans="5:13" ht="15" customHeight="1" x14ac:dyDescent="0.3">
      <c r="E7" s="49" t="s">
        <v>157</v>
      </c>
    </row>
    <row r="8" spans="5:13" ht="15" customHeight="1" x14ac:dyDescent="0.3">
      <c r="E8" s="49" t="s">
        <v>159</v>
      </c>
      <c r="I8" s="53" t="s">
        <v>162</v>
      </c>
      <c r="J8" s="53" t="s">
        <v>163</v>
      </c>
    </row>
    <row r="9" spans="5:13" ht="15" customHeight="1" x14ac:dyDescent="0.3">
      <c r="E9" s="49" t="s">
        <v>158</v>
      </c>
      <c r="I9" s="54">
        <v>1017</v>
      </c>
      <c r="J9" s="55">
        <v>46086</v>
      </c>
    </row>
    <row r="10" spans="5:13" ht="15" customHeight="1" x14ac:dyDescent="0.3">
      <c r="E10" s="49" t="s">
        <v>160</v>
      </c>
    </row>
    <row r="11" spans="5:13" ht="15" customHeight="1" x14ac:dyDescent="0.3">
      <c r="E11" s="49" t="s">
        <v>161</v>
      </c>
    </row>
    <row r="14" spans="5:13" ht="15" customHeight="1" x14ac:dyDescent="0.3">
      <c r="E14" s="50" t="s">
        <v>164</v>
      </c>
    </row>
    <row r="15" spans="5:13" ht="15" customHeight="1" x14ac:dyDescent="0.3">
      <c r="E15" t="s">
        <v>127</v>
      </c>
    </row>
    <row r="16" spans="5:13" ht="15" customHeight="1" x14ac:dyDescent="0.3">
      <c r="E16" t="s">
        <v>167</v>
      </c>
    </row>
    <row r="17" spans="2:13" ht="15" customHeight="1" x14ac:dyDescent="0.3">
      <c r="E17" t="s">
        <v>168</v>
      </c>
    </row>
    <row r="19" spans="2:13" ht="15" customHeight="1" x14ac:dyDescent="0.3">
      <c r="E19" s="56" t="s">
        <v>300</v>
      </c>
      <c r="F19" s="57"/>
      <c r="G19" s="57"/>
      <c r="H19" s="57"/>
      <c r="I19" s="57"/>
      <c r="J19" s="57"/>
    </row>
    <row r="20" spans="2:13" ht="15" customHeight="1" x14ac:dyDescent="0.3">
      <c r="B20" s="134" t="s">
        <v>249</v>
      </c>
      <c r="E20" s="58" t="s">
        <v>156</v>
      </c>
      <c r="F20" s="59" t="s">
        <v>165</v>
      </c>
      <c r="G20" s="59" t="s">
        <v>151</v>
      </c>
      <c r="H20" s="58" t="s">
        <v>166</v>
      </c>
      <c r="I20" s="58" t="s">
        <v>1</v>
      </c>
      <c r="J20" s="58" t="s">
        <v>152</v>
      </c>
    </row>
    <row r="21" spans="2:13" ht="15" customHeight="1" x14ac:dyDescent="0.3">
      <c r="B21" s="135"/>
      <c r="E21" s="151"/>
      <c r="F21" s="152"/>
      <c r="G21" s="152"/>
      <c r="H21" s="153"/>
      <c r="I21" s="153"/>
      <c r="J21" s="154"/>
    </row>
    <row r="22" spans="2:13" ht="15" customHeight="1" x14ac:dyDescent="0.3">
      <c r="B22" s="162">
        <v>17</v>
      </c>
      <c r="E22" s="163">
        <v>1</v>
      </c>
      <c r="F22" s="164" t="s">
        <v>352</v>
      </c>
      <c r="G22" s="164" t="s">
        <v>833</v>
      </c>
      <c r="H22" s="165">
        <v>160.4</v>
      </c>
      <c r="I22" s="165">
        <v>0</v>
      </c>
      <c r="J22" s="166">
        <f>H22-I22</f>
        <v>160.4</v>
      </c>
      <c r="M22" s="52">
        <v>12205</v>
      </c>
    </row>
    <row r="23" spans="2:13" ht="15" customHeight="1" x14ac:dyDescent="0.3">
      <c r="B23" s="162">
        <v>17</v>
      </c>
      <c r="E23" s="163">
        <v>1</v>
      </c>
      <c r="F23" s="164" t="s">
        <v>924</v>
      </c>
      <c r="G23" s="164" t="s">
        <v>1037</v>
      </c>
      <c r="H23" s="165">
        <v>72.47</v>
      </c>
      <c r="I23" s="165">
        <v>0</v>
      </c>
      <c r="J23" s="166">
        <f t="shared" ref="J23:J86" si="0">H23-I23</f>
        <v>72.47</v>
      </c>
      <c r="M23" s="52">
        <v>12212</v>
      </c>
    </row>
    <row r="24" spans="2:13" ht="15" customHeight="1" x14ac:dyDescent="0.3">
      <c r="B24" s="162">
        <v>17</v>
      </c>
      <c r="E24" s="163">
        <v>1</v>
      </c>
      <c r="F24" s="164" t="s">
        <v>924</v>
      </c>
      <c r="G24" s="164" t="s">
        <v>1038</v>
      </c>
      <c r="H24" s="165">
        <v>60.9</v>
      </c>
      <c r="I24" s="165">
        <v>0</v>
      </c>
      <c r="J24" s="166">
        <f t="shared" si="0"/>
        <v>60.9</v>
      </c>
      <c r="M24" s="52">
        <v>12221</v>
      </c>
    </row>
    <row r="25" spans="2:13" ht="15" customHeight="1" x14ac:dyDescent="0.3">
      <c r="B25" s="162">
        <v>17</v>
      </c>
      <c r="E25" s="163">
        <v>1</v>
      </c>
      <c r="F25" s="164" t="s">
        <v>1039</v>
      </c>
      <c r="G25" s="164" t="s">
        <v>1040</v>
      </c>
      <c r="H25" s="165">
        <v>104.83</v>
      </c>
      <c r="I25" s="165">
        <v>0</v>
      </c>
      <c r="J25" s="166">
        <f t="shared" si="0"/>
        <v>104.83</v>
      </c>
      <c r="M25" s="52">
        <v>12248.000000000002</v>
      </c>
    </row>
    <row r="26" spans="2:13" ht="15" customHeight="1" x14ac:dyDescent="0.3">
      <c r="B26" s="162">
        <v>17</v>
      </c>
      <c r="E26" s="163">
        <v>1</v>
      </c>
      <c r="F26" s="164" t="s">
        <v>241</v>
      </c>
      <c r="G26" s="164" t="s">
        <v>238</v>
      </c>
      <c r="H26" s="165">
        <v>954.77</v>
      </c>
      <c r="I26" s="165">
        <v>0</v>
      </c>
      <c r="J26" s="166">
        <f t="shared" si="0"/>
        <v>954.77</v>
      </c>
      <c r="M26" s="52">
        <v>12258</v>
      </c>
    </row>
    <row r="27" spans="2:13" ht="15" customHeight="1" x14ac:dyDescent="0.3">
      <c r="B27" s="162">
        <v>17</v>
      </c>
      <c r="E27" s="163">
        <v>1</v>
      </c>
      <c r="F27" s="164" t="s">
        <v>257</v>
      </c>
      <c r="G27" s="164" t="s">
        <v>258</v>
      </c>
      <c r="H27" s="165">
        <v>1449.48</v>
      </c>
      <c r="I27" s="165">
        <v>0</v>
      </c>
      <c r="J27" s="166">
        <f t="shared" si="0"/>
        <v>1449.48</v>
      </c>
      <c r="M27" s="52">
        <v>12260</v>
      </c>
    </row>
    <row r="28" spans="2:13" ht="15" customHeight="1" x14ac:dyDescent="0.3">
      <c r="B28" s="162">
        <v>17</v>
      </c>
      <c r="E28" s="163">
        <v>1</v>
      </c>
      <c r="F28" s="164" t="s">
        <v>352</v>
      </c>
      <c r="G28" s="164" t="s">
        <v>833</v>
      </c>
      <c r="H28" s="165">
        <v>677.87</v>
      </c>
      <c r="I28" s="165">
        <v>0</v>
      </c>
      <c r="J28" s="166">
        <f t="shared" si="0"/>
        <v>677.87</v>
      </c>
      <c r="M28" s="52">
        <v>12269.000000000002</v>
      </c>
    </row>
    <row r="29" spans="2:13" ht="15" customHeight="1" x14ac:dyDescent="0.3">
      <c r="B29" s="162">
        <v>17</v>
      </c>
      <c r="E29" s="163">
        <v>1</v>
      </c>
      <c r="F29" s="164" t="s">
        <v>352</v>
      </c>
      <c r="G29" s="164" t="s">
        <v>833</v>
      </c>
      <c r="H29" s="165">
        <v>136.31</v>
      </c>
      <c r="I29" s="165">
        <v>0</v>
      </c>
      <c r="J29" s="166">
        <f t="shared" si="0"/>
        <v>136.31</v>
      </c>
      <c r="M29" s="52">
        <v>12270</v>
      </c>
    </row>
    <row r="30" spans="2:13" ht="15" customHeight="1" x14ac:dyDescent="0.3">
      <c r="B30" s="162">
        <v>17</v>
      </c>
      <c r="E30" s="163">
        <v>1</v>
      </c>
      <c r="F30" s="164" t="s">
        <v>352</v>
      </c>
      <c r="G30" s="164" t="s">
        <v>833</v>
      </c>
      <c r="H30" s="165">
        <v>420.28</v>
      </c>
      <c r="I30" s="165">
        <v>0</v>
      </c>
      <c r="J30" s="166">
        <f t="shared" si="0"/>
        <v>420.28</v>
      </c>
      <c r="M30" s="52">
        <v>12271</v>
      </c>
    </row>
    <row r="31" spans="2:13" ht="15" customHeight="1" x14ac:dyDescent="0.3">
      <c r="B31" s="162">
        <v>17</v>
      </c>
      <c r="E31" s="163">
        <v>1</v>
      </c>
      <c r="F31" s="164" t="s">
        <v>257</v>
      </c>
      <c r="G31" s="164" t="s">
        <v>351</v>
      </c>
      <c r="H31" s="165">
        <v>2105.2199999999998</v>
      </c>
      <c r="I31" s="165">
        <v>0</v>
      </c>
      <c r="J31" s="166">
        <f t="shared" si="0"/>
        <v>2105.2199999999998</v>
      </c>
      <c r="M31" s="52">
        <v>12274</v>
      </c>
    </row>
    <row r="32" spans="2:13" ht="15" customHeight="1" x14ac:dyDescent="0.3">
      <c r="B32" s="162">
        <v>17</v>
      </c>
      <c r="E32" s="163">
        <v>1</v>
      </c>
      <c r="F32" s="164" t="s">
        <v>257</v>
      </c>
      <c r="G32" s="164" t="s">
        <v>351</v>
      </c>
      <c r="H32" s="165">
        <v>1613.43</v>
      </c>
      <c r="I32" s="165">
        <v>0</v>
      </c>
      <c r="J32" s="166">
        <f t="shared" si="0"/>
        <v>1613.43</v>
      </c>
      <c r="M32" s="52">
        <v>12275</v>
      </c>
    </row>
    <row r="33" spans="2:13" ht="15" customHeight="1" x14ac:dyDescent="0.3">
      <c r="B33" s="162">
        <v>17</v>
      </c>
      <c r="E33" s="163">
        <v>1</v>
      </c>
      <c r="F33" s="164" t="s">
        <v>352</v>
      </c>
      <c r="G33" s="164" t="s">
        <v>833</v>
      </c>
      <c r="H33" s="165">
        <v>24.09</v>
      </c>
      <c r="I33" s="165">
        <v>0</v>
      </c>
      <c r="J33" s="166">
        <f t="shared" si="0"/>
        <v>24.09</v>
      </c>
      <c r="M33" s="52">
        <v>12286</v>
      </c>
    </row>
    <row r="34" spans="2:13" ht="15" customHeight="1" x14ac:dyDescent="0.3">
      <c r="B34" s="162">
        <v>17</v>
      </c>
      <c r="E34" s="163">
        <v>1</v>
      </c>
      <c r="F34" s="164" t="s">
        <v>352</v>
      </c>
      <c r="G34" s="164" t="s">
        <v>833</v>
      </c>
      <c r="H34" s="165">
        <v>214.06</v>
      </c>
      <c r="I34" s="165">
        <v>0</v>
      </c>
      <c r="J34" s="166">
        <f t="shared" si="0"/>
        <v>214.06</v>
      </c>
      <c r="M34" s="52">
        <v>12306.999999999998</v>
      </c>
    </row>
    <row r="35" spans="2:13" ht="15" customHeight="1" x14ac:dyDescent="0.3">
      <c r="B35" s="162">
        <v>17</v>
      </c>
      <c r="E35" s="163">
        <v>1</v>
      </c>
      <c r="F35" s="164" t="s">
        <v>924</v>
      </c>
      <c r="G35" s="164" t="s">
        <v>272</v>
      </c>
      <c r="H35" s="165">
        <v>87.35</v>
      </c>
      <c r="I35" s="165">
        <v>0</v>
      </c>
      <c r="J35" s="166">
        <f t="shared" si="0"/>
        <v>87.35</v>
      </c>
      <c r="M35" s="52">
        <v>12356</v>
      </c>
    </row>
    <row r="36" spans="2:13" ht="15" customHeight="1" x14ac:dyDescent="0.3">
      <c r="B36" s="162">
        <v>17</v>
      </c>
      <c r="E36" s="163">
        <v>1</v>
      </c>
      <c r="F36" s="164" t="s">
        <v>924</v>
      </c>
      <c r="G36" s="164" t="s">
        <v>272</v>
      </c>
      <c r="H36" s="165">
        <v>1</v>
      </c>
      <c r="I36" s="165">
        <v>0</v>
      </c>
      <c r="J36" s="166">
        <f t="shared" si="0"/>
        <v>1</v>
      </c>
      <c r="M36" s="52">
        <v>12358</v>
      </c>
    </row>
    <row r="37" spans="2:13" ht="15" customHeight="1" x14ac:dyDescent="0.3">
      <c r="B37" s="162">
        <v>17</v>
      </c>
      <c r="E37" s="163">
        <v>1</v>
      </c>
      <c r="F37" s="164" t="s">
        <v>257</v>
      </c>
      <c r="G37" s="164" t="s">
        <v>351</v>
      </c>
      <c r="H37" s="165">
        <v>1613.43</v>
      </c>
      <c r="I37" s="165">
        <v>0</v>
      </c>
      <c r="J37" s="166">
        <f t="shared" si="0"/>
        <v>1613.43</v>
      </c>
      <c r="M37" s="52">
        <v>12461</v>
      </c>
    </row>
    <row r="38" spans="2:13" ht="15" customHeight="1" x14ac:dyDescent="0.3">
      <c r="B38" s="162">
        <v>17</v>
      </c>
      <c r="E38" s="163">
        <v>1</v>
      </c>
      <c r="F38" s="164" t="s">
        <v>257</v>
      </c>
      <c r="G38" s="164" t="s">
        <v>258</v>
      </c>
      <c r="H38" s="165">
        <v>1449.48</v>
      </c>
      <c r="I38" s="165">
        <v>0</v>
      </c>
      <c r="J38" s="166">
        <f t="shared" si="0"/>
        <v>1449.48</v>
      </c>
      <c r="M38" s="52">
        <v>12492</v>
      </c>
    </row>
    <row r="39" spans="2:13" ht="15" customHeight="1" x14ac:dyDescent="0.3">
      <c r="B39" s="162">
        <v>17</v>
      </c>
      <c r="E39" s="163">
        <v>1</v>
      </c>
      <c r="F39" s="164" t="s">
        <v>248</v>
      </c>
      <c r="G39" s="164" t="s">
        <v>286</v>
      </c>
      <c r="H39" s="165">
        <v>13.46</v>
      </c>
      <c r="I39" s="165">
        <v>0</v>
      </c>
      <c r="J39" s="166">
        <f t="shared" si="0"/>
        <v>13.46</v>
      </c>
      <c r="M39" s="52" t="s">
        <v>575</v>
      </c>
    </row>
    <row r="40" spans="2:13" ht="15" customHeight="1" x14ac:dyDescent="0.3">
      <c r="B40" s="162">
        <v>17</v>
      </c>
      <c r="E40" s="163">
        <v>1</v>
      </c>
      <c r="F40" s="164" t="s">
        <v>257</v>
      </c>
      <c r="G40" s="164" t="s">
        <v>351</v>
      </c>
      <c r="H40" s="165">
        <v>-491.79</v>
      </c>
      <c r="I40" s="165">
        <v>0</v>
      </c>
      <c r="J40" s="166">
        <f t="shared" si="0"/>
        <v>-491.79</v>
      </c>
      <c r="M40" s="52" t="s">
        <v>575</v>
      </c>
    </row>
    <row r="41" spans="2:13" ht="15" customHeight="1" x14ac:dyDescent="0.3">
      <c r="B41" s="162">
        <v>17</v>
      </c>
      <c r="E41" s="163">
        <v>1</v>
      </c>
      <c r="F41" s="164" t="s">
        <v>1041</v>
      </c>
      <c r="G41" s="164" t="s">
        <v>1042</v>
      </c>
      <c r="H41" s="165">
        <v>-11.08</v>
      </c>
      <c r="I41" s="165">
        <v>0</v>
      </c>
      <c r="J41" s="166">
        <f t="shared" si="0"/>
        <v>-11.08</v>
      </c>
      <c r="M41" s="52" t="s">
        <v>575</v>
      </c>
    </row>
    <row r="42" spans="2:13" ht="15" customHeight="1" x14ac:dyDescent="0.3">
      <c r="B42" s="162">
        <v>17</v>
      </c>
      <c r="E42" s="163">
        <v>1</v>
      </c>
      <c r="F42" s="164" t="s">
        <v>1041</v>
      </c>
      <c r="G42" s="164" t="s">
        <v>1042</v>
      </c>
      <c r="H42" s="165">
        <v>-57.68</v>
      </c>
      <c r="I42" s="165">
        <v>0</v>
      </c>
      <c r="J42" s="166">
        <f t="shared" si="0"/>
        <v>-57.68</v>
      </c>
      <c r="M42" s="52" t="s">
        <v>575</v>
      </c>
    </row>
    <row r="43" spans="2:13" ht="15" customHeight="1" x14ac:dyDescent="0.3">
      <c r="B43" s="162">
        <v>17</v>
      </c>
      <c r="E43" s="163">
        <v>1</v>
      </c>
      <c r="F43" s="164" t="s">
        <v>1041</v>
      </c>
      <c r="G43" s="164" t="s">
        <v>1042</v>
      </c>
      <c r="H43" s="165">
        <v>-855.97</v>
      </c>
      <c r="I43" s="165">
        <v>0</v>
      </c>
      <c r="J43" s="166">
        <f t="shared" si="0"/>
        <v>-855.97</v>
      </c>
      <c r="M43" s="52" t="s">
        <v>575</v>
      </c>
    </row>
    <row r="44" spans="2:13" ht="15" customHeight="1" x14ac:dyDescent="0.3">
      <c r="B44" s="162">
        <v>17</v>
      </c>
      <c r="E44" s="163">
        <v>1</v>
      </c>
      <c r="F44" s="164" t="s">
        <v>248</v>
      </c>
      <c r="G44" s="164" t="s">
        <v>286</v>
      </c>
      <c r="H44" s="165">
        <v>25</v>
      </c>
      <c r="I44" s="165">
        <v>0</v>
      </c>
      <c r="J44" s="166">
        <f t="shared" si="0"/>
        <v>25</v>
      </c>
      <c r="M44" s="52" t="s">
        <v>575</v>
      </c>
    </row>
    <row r="45" spans="2:13" ht="15" customHeight="1" x14ac:dyDescent="0.3">
      <c r="B45" s="162">
        <v>17</v>
      </c>
      <c r="E45" s="163">
        <v>1</v>
      </c>
      <c r="F45" s="164" t="s">
        <v>248</v>
      </c>
      <c r="G45" s="164" t="s">
        <v>286</v>
      </c>
      <c r="H45" s="165">
        <v>25</v>
      </c>
      <c r="I45" s="165">
        <v>0</v>
      </c>
      <c r="J45" s="166">
        <f t="shared" si="0"/>
        <v>25</v>
      </c>
      <c r="M45" s="52" t="s">
        <v>575</v>
      </c>
    </row>
    <row r="46" spans="2:13" ht="15" customHeight="1" x14ac:dyDescent="0.3">
      <c r="B46" s="162">
        <v>17</v>
      </c>
      <c r="E46" s="163">
        <v>1</v>
      </c>
      <c r="F46" s="164" t="s">
        <v>1043</v>
      </c>
      <c r="G46" s="164" t="s">
        <v>1044</v>
      </c>
      <c r="H46" s="165">
        <v>66.95</v>
      </c>
      <c r="I46" s="165">
        <v>0</v>
      </c>
      <c r="J46" s="166">
        <f t="shared" si="0"/>
        <v>66.95</v>
      </c>
      <c r="M46" s="52" t="s">
        <v>575</v>
      </c>
    </row>
    <row r="47" spans="2:13" ht="15" customHeight="1" x14ac:dyDescent="0.3">
      <c r="B47" s="162">
        <v>17</v>
      </c>
      <c r="E47" s="163">
        <v>1</v>
      </c>
      <c r="F47" s="164" t="s">
        <v>1043</v>
      </c>
      <c r="G47" s="164" t="s">
        <v>1044</v>
      </c>
      <c r="H47" s="165">
        <v>44.94</v>
      </c>
      <c r="I47" s="165">
        <v>0</v>
      </c>
      <c r="J47" s="166">
        <f t="shared" si="0"/>
        <v>44.94</v>
      </c>
      <c r="M47" s="52" t="s">
        <v>575</v>
      </c>
    </row>
    <row r="48" spans="2:13" ht="15" customHeight="1" x14ac:dyDescent="0.3">
      <c r="B48" s="162">
        <v>17</v>
      </c>
      <c r="E48" s="163">
        <v>1</v>
      </c>
      <c r="F48" s="164" t="s">
        <v>1043</v>
      </c>
      <c r="G48" s="164" t="s">
        <v>1044</v>
      </c>
      <c r="H48" s="165">
        <v>46.96</v>
      </c>
      <c r="I48" s="165">
        <v>0</v>
      </c>
      <c r="J48" s="166">
        <f t="shared" si="0"/>
        <v>46.96</v>
      </c>
      <c r="M48" s="52" t="s">
        <v>575</v>
      </c>
    </row>
    <row r="49" spans="2:13" ht="15" customHeight="1" x14ac:dyDescent="0.3">
      <c r="B49" s="162">
        <v>17</v>
      </c>
      <c r="E49" s="163">
        <v>1</v>
      </c>
      <c r="F49" s="164" t="s">
        <v>1043</v>
      </c>
      <c r="G49" s="164" t="s">
        <v>1044</v>
      </c>
      <c r="H49" s="165">
        <v>63.93</v>
      </c>
      <c r="I49" s="165">
        <v>0</v>
      </c>
      <c r="J49" s="166">
        <f t="shared" si="0"/>
        <v>63.93</v>
      </c>
      <c r="M49" s="52" t="s">
        <v>575</v>
      </c>
    </row>
    <row r="50" spans="2:13" ht="15" customHeight="1" x14ac:dyDescent="0.3">
      <c r="B50" s="162">
        <v>17</v>
      </c>
      <c r="E50" s="163">
        <v>1</v>
      </c>
      <c r="F50" s="164" t="s">
        <v>1043</v>
      </c>
      <c r="G50" s="164" t="s">
        <v>1044</v>
      </c>
      <c r="H50" s="165">
        <v>49.93</v>
      </c>
      <c r="I50" s="165">
        <v>0</v>
      </c>
      <c r="J50" s="166">
        <f t="shared" si="0"/>
        <v>49.93</v>
      </c>
      <c r="M50" s="52" t="s">
        <v>575</v>
      </c>
    </row>
    <row r="51" spans="2:13" ht="15" customHeight="1" x14ac:dyDescent="0.3">
      <c r="B51" s="162">
        <v>17</v>
      </c>
      <c r="E51" s="163">
        <v>1</v>
      </c>
      <c r="F51" s="164" t="s">
        <v>1043</v>
      </c>
      <c r="G51" s="164" t="s">
        <v>1044</v>
      </c>
      <c r="H51" s="165">
        <v>47.98</v>
      </c>
      <c r="I51" s="165">
        <v>0</v>
      </c>
      <c r="J51" s="166">
        <f t="shared" si="0"/>
        <v>47.98</v>
      </c>
      <c r="M51" s="52" t="s">
        <v>575</v>
      </c>
    </row>
    <row r="52" spans="2:13" ht="15" customHeight="1" x14ac:dyDescent="0.3">
      <c r="B52" s="162">
        <v>17</v>
      </c>
      <c r="E52" s="163">
        <v>1</v>
      </c>
      <c r="F52" s="164" t="s">
        <v>1045</v>
      </c>
      <c r="G52" s="164" t="s">
        <v>659</v>
      </c>
      <c r="H52" s="165">
        <v>571.55999999999995</v>
      </c>
      <c r="I52" s="165">
        <v>0</v>
      </c>
      <c r="J52" s="166">
        <f t="shared" si="0"/>
        <v>571.55999999999995</v>
      </c>
      <c r="M52" s="52" t="s">
        <v>575</v>
      </c>
    </row>
    <row r="53" spans="2:13" ht="15" customHeight="1" x14ac:dyDescent="0.3">
      <c r="B53" s="162">
        <v>17</v>
      </c>
      <c r="E53" s="163">
        <v>1</v>
      </c>
      <c r="F53" s="164" t="s">
        <v>1045</v>
      </c>
      <c r="G53" s="164" t="s">
        <v>659</v>
      </c>
      <c r="H53" s="165">
        <v>179.67</v>
      </c>
      <c r="I53" s="165">
        <v>0</v>
      </c>
      <c r="J53" s="166">
        <f t="shared" si="0"/>
        <v>179.67</v>
      </c>
      <c r="M53" s="52" t="s">
        <v>575</v>
      </c>
    </row>
    <row r="54" spans="2:13" ht="15" customHeight="1" x14ac:dyDescent="0.3">
      <c r="B54" s="162">
        <v>17</v>
      </c>
      <c r="E54" s="163">
        <v>1</v>
      </c>
      <c r="F54" s="164" t="s">
        <v>1045</v>
      </c>
      <c r="G54" s="164" t="s">
        <v>659</v>
      </c>
      <c r="H54" s="165">
        <v>213.57</v>
      </c>
      <c r="I54" s="165">
        <v>0</v>
      </c>
      <c r="J54" s="166">
        <f t="shared" si="0"/>
        <v>213.57</v>
      </c>
      <c r="M54" s="52" t="s">
        <v>575</v>
      </c>
    </row>
    <row r="55" spans="2:13" ht="15" customHeight="1" x14ac:dyDescent="0.3">
      <c r="B55" s="162">
        <v>17</v>
      </c>
      <c r="E55" s="163">
        <v>1</v>
      </c>
      <c r="F55" s="164" t="s">
        <v>1045</v>
      </c>
      <c r="G55" s="164" t="s">
        <v>659</v>
      </c>
      <c r="H55" s="165">
        <v>161.76</v>
      </c>
      <c r="I55" s="165">
        <v>0</v>
      </c>
      <c r="J55" s="166">
        <f t="shared" si="0"/>
        <v>161.76</v>
      </c>
      <c r="M55" s="52" t="s">
        <v>575</v>
      </c>
    </row>
    <row r="56" spans="2:13" ht="15" customHeight="1" x14ac:dyDescent="0.3">
      <c r="B56" s="162">
        <v>17</v>
      </c>
      <c r="E56" s="163">
        <v>1</v>
      </c>
      <c r="F56" s="164" t="s">
        <v>732</v>
      </c>
      <c r="G56" s="164" t="s">
        <v>937</v>
      </c>
      <c r="H56" s="165">
        <v>491.43</v>
      </c>
      <c r="I56" s="165">
        <v>0</v>
      </c>
      <c r="J56" s="166">
        <f t="shared" si="0"/>
        <v>491.43</v>
      </c>
      <c r="M56" s="52" t="s">
        <v>575</v>
      </c>
    </row>
    <row r="57" spans="2:13" ht="15" customHeight="1" x14ac:dyDescent="0.3">
      <c r="B57" s="162">
        <v>17</v>
      </c>
      <c r="E57" s="163">
        <v>1</v>
      </c>
      <c r="F57" s="164" t="s">
        <v>700</v>
      </c>
      <c r="G57" s="164" t="s">
        <v>1046</v>
      </c>
      <c r="H57" s="165">
        <v>711.24000000000024</v>
      </c>
      <c r="I57" s="165">
        <v>0</v>
      </c>
      <c r="J57" s="166">
        <f t="shared" si="0"/>
        <v>711.24000000000024</v>
      </c>
      <c r="M57" s="52" t="s">
        <v>575</v>
      </c>
    </row>
    <row r="58" spans="2:13" ht="15" customHeight="1" x14ac:dyDescent="0.3">
      <c r="B58" s="162">
        <v>17</v>
      </c>
      <c r="E58" s="163">
        <v>1</v>
      </c>
      <c r="F58" s="164" t="s">
        <v>248</v>
      </c>
      <c r="G58" s="164" t="s">
        <v>286</v>
      </c>
      <c r="H58" s="165">
        <v>10</v>
      </c>
      <c r="I58" s="165">
        <v>0</v>
      </c>
      <c r="J58" s="166">
        <f t="shared" si="0"/>
        <v>10</v>
      </c>
      <c r="M58" s="52" t="s">
        <v>575</v>
      </c>
    </row>
    <row r="59" spans="2:13" ht="15" customHeight="1" x14ac:dyDescent="0.3">
      <c r="B59" s="162">
        <v>17</v>
      </c>
      <c r="E59" s="163">
        <v>1</v>
      </c>
      <c r="F59" s="164" t="s">
        <v>1047</v>
      </c>
      <c r="G59" s="164" t="s">
        <v>1048</v>
      </c>
      <c r="H59" s="165">
        <v>1844.35</v>
      </c>
      <c r="I59" s="165">
        <v>0</v>
      </c>
      <c r="J59" s="166">
        <f t="shared" si="0"/>
        <v>1844.35</v>
      </c>
      <c r="M59" s="52" t="s">
        <v>575</v>
      </c>
    </row>
    <row r="60" spans="2:13" ht="15" customHeight="1" x14ac:dyDescent="0.3">
      <c r="B60" s="162">
        <v>17</v>
      </c>
      <c r="E60" s="163">
        <v>1</v>
      </c>
      <c r="F60" s="164" t="s">
        <v>847</v>
      </c>
      <c r="G60" s="164" t="s">
        <v>586</v>
      </c>
      <c r="H60" s="165">
        <v>130.30000000000001</v>
      </c>
      <c r="I60" s="165">
        <v>0</v>
      </c>
      <c r="J60" s="166">
        <f t="shared" si="0"/>
        <v>130.30000000000001</v>
      </c>
      <c r="M60" s="52" t="s">
        <v>575</v>
      </c>
    </row>
    <row r="61" spans="2:13" ht="15" customHeight="1" x14ac:dyDescent="0.3">
      <c r="B61" s="162">
        <v>17</v>
      </c>
      <c r="E61" s="163">
        <v>1</v>
      </c>
      <c r="F61" s="164" t="s">
        <v>639</v>
      </c>
      <c r="G61" s="164" t="s">
        <v>736</v>
      </c>
      <c r="H61" s="165">
        <v>1202.23</v>
      </c>
      <c r="I61" s="165">
        <v>0</v>
      </c>
      <c r="J61" s="166">
        <f t="shared" si="0"/>
        <v>1202.23</v>
      </c>
      <c r="M61" s="52" t="s">
        <v>575</v>
      </c>
    </row>
    <row r="62" spans="2:13" ht="15" customHeight="1" x14ac:dyDescent="0.3">
      <c r="B62" s="162">
        <v>17</v>
      </c>
      <c r="E62" s="163">
        <v>1</v>
      </c>
      <c r="F62" s="164" t="s">
        <v>643</v>
      </c>
      <c r="G62" s="164" t="s">
        <v>845</v>
      </c>
      <c r="H62" s="165">
        <v>269.04000000000002</v>
      </c>
      <c r="I62" s="165">
        <v>0</v>
      </c>
      <c r="J62" s="166">
        <f t="shared" si="0"/>
        <v>269.04000000000002</v>
      </c>
      <c r="M62" s="52" t="s">
        <v>575</v>
      </c>
    </row>
    <row r="63" spans="2:13" ht="15" customHeight="1" x14ac:dyDescent="0.3">
      <c r="B63" s="162">
        <v>17</v>
      </c>
      <c r="E63" s="163">
        <v>1</v>
      </c>
      <c r="F63" s="164" t="s">
        <v>593</v>
      </c>
      <c r="G63" s="164" t="s">
        <v>649</v>
      </c>
      <c r="H63" s="165">
        <v>303.81</v>
      </c>
      <c r="I63" s="165">
        <v>0</v>
      </c>
      <c r="J63" s="166">
        <f t="shared" si="0"/>
        <v>303.81</v>
      </c>
      <c r="M63" s="52" t="s">
        <v>575</v>
      </c>
    </row>
    <row r="64" spans="2:13" ht="15" customHeight="1" x14ac:dyDescent="0.3">
      <c r="B64" s="162">
        <v>17</v>
      </c>
      <c r="E64" s="163">
        <v>3</v>
      </c>
      <c r="F64" s="164" t="s">
        <v>1049</v>
      </c>
      <c r="G64" s="164" t="s">
        <v>1050</v>
      </c>
      <c r="H64" s="165">
        <v>74.77</v>
      </c>
      <c r="I64" s="165">
        <v>0</v>
      </c>
      <c r="J64" s="166">
        <f t="shared" si="0"/>
        <v>74.77</v>
      </c>
      <c r="M64" s="52">
        <v>12216</v>
      </c>
    </row>
    <row r="65" spans="2:13" ht="15" customHeight="1" x14ac:dyDescent="0.3">
      <c r="B65" s="162">
        <v>17</v>
      </c>
      <c r="E65" s="163">
        <v>3</v>
      </c>
      <c r="F65" s="164" t="s">
        <v>709</v>
      </c>
      <c r="G65" s="164" t="s">
        <v>1051</v>
      </c>
      <c r="H65" s="165">
        <v>50.03</v>
      </c>
      <c r="I65" s="165">
        <v>0</v>
      </c>
      <c r="J65" s="166">
        <f t="shared" si="0"/>
        <v>50.03</v>
      </c>
      <c r="M65" s="52">
        <v>12218</v>
      </c>
    </row>
    <row r="66" spans="2:13" ht="15" customHeight="1" x14ac:dyDescent="0.3">
      <c r="B66" s="162">
        <v>17</v>
      </c>
      <c r="E66" s="163">
        <v>3</v>
      </c>
      <c r="F66" s="164" t="s">
        <v>1049</v>
      </c>
      <c r="G66" s="164" t="s">
        <v>1052</v>
      </c>
      <c r="H66" s="165">
        <v>373.27</v>
      </c>
      <c r="I66" s="165">
        <v>0</v>
      </c>
      <c r="J66" s="166">
        <f t="shared" si="0"/>
        <v>373.27</v>
      </c>
      <c r="M66" s="52">
        <v>12246.999999999998</v>
      </c>
    </row>
    <row r="67" spans="2:13" ht="15" customHeight="1" x14ac:dyDescent="0.3">
      <c r="B67" s="162">
        <v>17</v>
      </c>
      <c r="E67" s="163">
        <v>3</v>
      </c>
      <c r="F67" s="164" t="s">
        <v>1053</v>
      </c>
      <c r="G67" s="164" t="s">
        <v>1054</v>
      </c>
      <c r="H67" s="165">
        <v>213.69</v>
      </c>
      <c r="I67" s="165">
        <v>0</v>
      </c>
      <c r="J67" s="166">
        <f t="shared" si="0"/>
        <v>213.69</v>
      </c>
      <c r="M67" s="52">
        <v>12250</v>
      </c>
    </row>
    <row r="68" spans="2:13" ht="15" customHeight="1" x14ac:dyDescent="0.3">
      <c r="B68" s="162">
        <v>17</v>
      </c>
      <c r="E68" s="163">
        <v>3</v>
      </c>
      <c r="F68" s="164" t="s">
        <v>1055</v>
      </c>
      <c r="G68" s="164" t="s">
        <v>457</v>
      </c>
      <c r="H68" s="165">
        <v>445.99</v>
      </c>
      <c r="I68" s="165">
        <v>0</v>
      </c>
      <c r="J68" s="166">
        <f t="shared" si="0"/>
        <v>445.99</v>
      </c>
      <c r="M68" s="52">
        <v>12286.999999999998</v>
      </c>
    </row>
    <row r="69" spans="2:13" ht="15" customHeight="1" x14ac:dyDescent="0.3">
      <c r="B69" s="162">
        <v>17</v>
      </c>
      <c r="E69" s="163">
        <v>3</v>
      </c>
      <c r="F69" s="164" t="s">
        <v>850</v>
      </c>
      <c r="G69" s="164" t="s">
        <v>1056</v>
      </c>
      <c r="H69" s="165">
        <v>102.54</v>
      </c>
      <c r="I69" s="165">
        <v>0</v>
      </c>
      <c r="J69" s="166">
        <f t="shared" si="0"/>
        <v>102.54</v>
      </c>
      <c r="M69" s="52">
        <v>12359</v>
      </c>
    </row>
    <row r="70" spans="2:13" ht="15" customHeight="1" x14ac:dyDescent="0.3">
      <c r="B70" s="162">
        <v>17</v>
      </c>
      <c r="E70" s="163">
        <v>5</v>
      </c>
      <c r="F70" s="164" t="s">
        <v>1057</v>
      </c>
      <c r="G70" s="164" t="s">
        <v>1058</v>
      </c>
      <c r="H70" s="165">
        <v>1609.5699999999924</v>
      </c>
      <c r="I70" s="165">
        <v>380</v>
      </c>
      <c r="J70" s="166">
        <f t="shared" si="0"/>
        <v>1229.5699999999924</v>
      </c>
      <c r="M70" s="52">
        <v>12344</v>
      </c>
    </row>
    <row r="71" spans="2:13" ht="15" customHeight="1" x14ac:dyDescent="0.3">
      <c r="B71" s="162">
        <v>17</v>
      </c>
      <c r="E71" s="163">
        <v>5</v>
      </c>
      <c r="F71" s="164" t="s">
        <v>1057</v>
      </c>
      <c r="G71" s="164" t="s">
        <v>1059</v>
      </c>
      <c r="H71" s="165">
        <v>6675</v>
      </c>
      <c r="I71" s="165">
        <v>667.5</v>
      </c>
      <c r="J71" s="166">
        <f t="shared" si="0"/>
        <v>6007.5</v>
      </c>
      <c r="M71" s="52">
        <v>12345</v>
      </c>
    </row>
    <row r="72" spans="2:13" ht="15" customHeight="1" x14ac:dyDescent="0.3">
      <c r="B72" s="162">
        <v>17</v>
      </c>
      <c r="E72" s="163">
        <v>7</v>
      </c>
      <c r="F72" s="164" t="s">
        <v>1060</v>
      </c>
      <c r="G72" s="164" t="s">
        <v>1061</v>
      </c>
      <c r="H72" s="165">
        <v>909.82</v>
      </c>
      <c r="I72" s="165">
        <v>0</v>
      </c>
      <c r="J72" s="166">
        <f t="shared" si="0"/>
        <v>909.82</v>
      </c>
      <c r="M72" s="52">
        <v>12312</v>
      </c>
    </row>
    <row r="73" spans="2:13" ht="15" customHeight="1" x14ac:dyDescent="0.3">
      <c r="B73" s="162">
        <v>17</v>
      </c>
      <c r="E73" s="163">
        <v>7</v>
      </c>
      <c r="F73" s="164" t="s">
        <v>1062</v>
      </c>
      <c r="G73" s="164" t="s">
        <v>860</v>
      </c>
      <c r="H73" s="165">
        <v>4000</v>
      </c>
      <c r="I73" s="165">
        <v>0</v>
      </c>
      <c r="J73" s="166">
        <f t="shared" si="0"/>
        <v>4000</v>
      </c>
      <c r="M73" s="52">
        <v>12469</v>
      </c>
    </row>
    <row r="74" spans="2:13" ht="15" customHeight="1" x14ac:dyDescent="0.3">
      <c r="B74" s="162">
        <v>17</v>
      </c>
      <c r="E74" s="163">
        <v>7</v>
      </c>
      <c r="F74" s="164" t="s">
        <v>1060</v>
      </c>
      <c r="G74" s="164" t="s">
        <v>1061</v>
      </c>
      <c r="H74" s="165">
        <v>722.5</v>
      </c>
      <c r="I74" s="165">
        <v>0</v>
      </c>
      <c r="J74" s="166">
        <f t="shared" si="0"/>
        <v>722.5</v>
      </c>
      <c r="M74" s="52" t="s">
        <v>575</v>
      </c>
    </row>
    <row r="75" spans="2:13" ht="15" customHeight="1" x14ac:dyDescent="0.3">
      <c r="B75" s="162">
        <v>17</v>
      </c>
      <c r="E75" s="163">
        <v>7</v>
      </c>
      <c r="F75" s="164" t="s">
        <v>1060</v>
      </c>
      <c r="G75" s="164" t="s">
        <v>1061</v>
      </c>
      <c r="H75" s="165">
        <v>454.91</v>
      </c>
      <c r="I75" s="165">
        <v>0</v>
      </c>
      <c r="J75" s="166">
        <f t="shared" si="0"/>
        <v>454.91</v>
      </c>
      <c r="M75" s="52" t="s">
        <v>575</v>
      </c>
    </row>
    <row r="76" spans="2:13" ht="15" customHeight="1" x14ac:dyDescent="0.3">
      <c r="B76" s="162">
        <v>17</v>
      </c>
      <c r="E76" s="163">
        <v>8</v>
      </c>
      <c r="F76" s="164" t="s">
        <v>953</v>
      </c>
      <c r="G76" s="164" t="s">
        <v>1063</v>
      </c>
      <c r="H76" s="165">
        <v>57.26</v>
      </c>
      <c r="I76" s="165">
        <v>0</v>
      </c>
      <c r="J76" s="166">
        <f t="shared" si="0"/>
        <v>57.26</v>
      </c>
      <c r="M76" s="52">
        <v>12455</v>
      </c>
    </row>
    <row r="77" spans="2:13" ht="15" customHeight="1" x14ac:dyDescent="0.3">
      <c r="B77" s="162">
        <v>17</v>
      </c>
      <c r="E77" s="163">
        <v>8</v>
      </c>
      <c r="F77" s="164" t="s">
        <v>1064</v>
      </c>
      <c r="G77" s="164" t="s">
        <v>1065</v>
      </c>
      <c r="H77" s="165">
        <v>28640.68</v>
      </c>
      <c r="I77" s="165">
        <v>0</v>
      </c>
      <c r="J77" s="166">
        <f t="shared" si="0"/>
        <v>28640.68</v>
      </c>
      <c r="M77" s="52">
        <v>12468</v>
      </c>
    </row>
    <row r="78" spans="2:13" ht="15" customHeight="1" x14ac:dyDescent="0.3">
      <c r="B78" s="162">
        <v>17</v>
      </c>
      <c r="E78" s="163">
        <v>8</v>
      </c>
      <c r="F78" s="164" t="s">
        <v>953</v>
      </c>
      <c r="G78" s="164" t="s">
        <v>1066</v>
      </c>
      <c r="H78" s="165">
        <v>59.06</v>
      </c>
      <c r="I78" s="165">
        <v>0</v>
      </c>
      <c r="J78" s="166">
        <f t="shared" si="0"/>
        <v>59.06</v>
      </c>
      <c r="M78" s="52">
        <v>12500</v>
      </c>
    </row>
    <row r="79" spans="2:13" ht="15" customHeight="1" x14ac:dyDescent="0.3">
      <c r="B79" s="162">
        <v>17</v>
      </c>
      <c r="E79" s="163">
        <v>8</v>
      </c>
      <c r="F79" s="164" t="s">
        <v>863</v>
      </c>
      <c r="G79" s="164" t="s">
        <v>566</v>
      </c>
      <c r="H79" s="165">
        <v>5450</v>
      </c>
      <c r="I79" s="165">
        <v>0</v>
      </c>
      <c r="J79" s="166">
        <f t="shared" si="0"/>
        <v>5450</v>
      </c>
      <c r="M79" s="52" t="s">
        <v>575</v>
      </c>
    </row>
    <row r="80" spans="2:13" ht="15" customHeight="1" x14ac:dyDescent="0.3">
      <c r="B80" s="162">
        <v>17</v>
      </c>
      <c r="E80" s="163">
        <v>8</v>
      </c>
      <c r="F80" s="164" t="s">
        <v>1067</v>
      </c>
      <c r="G80" s="164" t="s">
        <v>648</v>
      </c>
      <c r="H80" s="165">
        <v>3195.74</v>
      </c>
      <c r="I80" s="165">
        <v>0</v>
      </c>
      <c r="J80" s="166">
        <f t="shared" si="0"/>
        <v>3195.74</v>
      </c>
      <c r="M80" s="52" t="s">
        <v>575</v>
      </c>
    </row>
    <row r="81" spans="2:13" ht="15" customHeight="1" x14ac:dyDescent="0.3">
      <c r="B81" s="162">
        <v>17</v>
      </c>
      <c r="E81" s="163">
        <v>8</v>
      </c>
      <c r="F81" s="164" t="s">
        <v>1068</v>
      </c>
      <c r="G81" s="164" t="s">
        <v>648</v>
      </c>
      <c r="H81" s="165">
        <v>1106.67</v>
      </c>
      <c r="I81" s="165">
        <v>0</v>
      </c>
      <c r="J81" s="166">
        <f t="shared" si="0"/>
        <v>1106.67</v>
      </c>
      <c r="M81" s="52" t="s">
        <v>575</v>
      </c>
    </row>
    <row r="82" spans="2:13" ht="15" customHeight="1" x14ac:dyDescent="0.3">
      <c r="B82" s="162">
        <v>17</v>
      </c>
      <c r="E82" s="163">
        <v>8</v>
      </c>
      <c r="F82" s="164" t="s">
        <v>1069</v>
      </c>
      <c r="G82" s="164" t="s">
        <v>648</v>
      </c>
      <c r="H82" s="165">
        <v>582.20000000000005</v>
      </c>
      <c r="I82" s="165">
        <v>0</v>
      </c>
      <c r="J82" s="166">
        <f t="shared" si="0"/>
        <v>582.20000000000005</v>
      </c>
      <c r="M82" s="52" t="s">
        <v>575</v>
      </c>
    </row>
    <row r="83" spans="2:13" ht="15" customHeight="1" x14ac:dyDescent="0.3">
      <c r="B83" s="162">
        <v>17</v>
      </c>
      <c r="E83" s="163">
        <v>8</v>
      </c>
      <c r="F83" s="164" t="s">
        <v>1070</v>
      </c>
      <c r="G83" s="164" t="s">
        <v>648</v>
      </c>
      <c r="H83" s="165">
        <v>416.5</v>
      </c>
      <c r="I83" s="165">
        <v>0</v>
      </c>
      <c r="J83" s="166">
        <f t="shared" si="0"/>
        <v>416.5</v>
      </c>
      <c r="M83" s="52" t="s">
        <v>575</v>
      </c>
    </row>
    <row r="84" spans="2:13" ht="15" customHeight="1" x14ac:dyDescent="0.3">
      <c r="B84" s="162">
        <v>17</v>
      </c>
      <c r="E84" s="163">
        <v>8</v>
      </c>
      <c r="F84" s="164" t="s">
        <v>1071</v>
      </c>
      <c r="G84" s="164" t="s">
        <v>648</v>
      </c>
      <c r="H84" s="165">
        <v>1375.68</v>
      </c>
      <c r="I84" s="165">
        <v>0</v>
      </c>
      <c r="J84" s="166">
        <f t="shared" si="0"/>
        <v>1375.68</v>
      </c>
      <c r="M84" s="52" t="s">
        <v>575</v>
      </c>
    </row>
    <row r="85" spans="2:13" ht="15" customHeight="1" x14ac:dyDescent="0.3">
      <c r="B85" s="162">
        <v>17</v>
      </c>
      <c r="E85" s="163">
        <v>8</v>
      </c>
      <c r="F85" s="164" t="s">
        <v>1072</v>
      </c>
      <c r="G85" s="164" t="s">
        <v>648</v>
      </c>
      <c r="H85" s="165">
        <v>136.35</v>
      </c>
      <c r="I85" s="165">
        <v>0</v>
      </c>
      <c r="J85" s="166">
        <f t="shared" si="0"/>
        <v>136.35</v>
      </c>
      <c r="M85" s="52" t="s">
        <v>575</v>
      </c>
    </row>
    <row r="86" spans="2:13" ht="15" customHeight="1" x14ac:dyDescent="0.3">
      <c r="B86" s="162">
        <v>17</v>
      </c>
      <c r="E86" s="163">
        <v>8</v>
      </c>
      <c r="F86" s="164" t="s">
        <v>1070</v>
      </c>
      <c r="G86" s="164" t="s">
        <v>648</v>
      </c>
      <c r="H86" s="165">
        <v>1332.8</v>
      </c>
      <c r="I86" s="165">
        <v>0</v>
      </c>
      <c r="J86" s="166">
        <f t="shared" si="0"/>
        <v>1332.8</v>
      </c>
      <c r="M86" s="52" t="s">
        <v>575</v>
      </c>
    </row>
    <row r="87" spans="2:13" ht="15" customHeight="1" x14ac:dyDescent="0.3">
      <c r="B87" s="162">
        <v>17</v>
      </c>
      <c r="E87" s="163">
        <v>8</v>
      </c>
      <c r="F87" s="164" t="s">
        <v>1073</v>
      </c>
      <c r="G87" s="164" t="s">
        <v>648</v>
      </c>
      <c r="H87" s="165">
        <v>272.76</v>
      </c>
      <c r="I87" s="165">
        <v>0</v>
      </c>
      <c r="J87" s="166">
        <f t="shared" ref="J87:J150" si="1">H87-I87</f>
        <v>272.76</v>
      </c>
      <c r="M87" s="52" t="s">
        <v>575</v>
      </c>
    </row>
    <row r="88" spans="2:13" ht="15" customHeight="1" x14ac:dyDescent="0.3">
      <c r="B88" s="162">
        <v>17</v>
      </c>
      <c r="E88" s="163">
        <v>8</v>
      </c>
      <c r="F88" s="164" t="s">
        <v>1073</v>
      </c>
      <c r="G88" s="164" t="s">
        <v>648</v>
      </c>
      <c r="H88" s="165">
        <v>248.96</v>
      </c>
      <c r="I88" s="165">
        <v>0</v>
      </c>
      <c r="J88" s="166">
        <f t="shared" si="1"/>
        <v>248.96</v>
      </c>
      <c r="M88" s="52" t="s">
        <v>575</v>
      </c>
    </row>
    <row r="89" spans="2:13" ht="15" customHeight="1" x14ac:dyDescent="0.3">
      <c r="B89" s="162">
        <v>17</v>
      </c>
      <c r="E89" s="163">
        <v>8</v>
      </c>
      <c r="F89" s="164" t="s">
        <v>1074</v>
      </c>
      <c r="G89" s="164" t="s">
        <v>648</v>
      </c>
      <c r="H89" s="165">
        <v>84.36</v>
      </c>
      <c r="I89" s="165">
        <v>0</v>
      </c>
      <c r="J89" s="166">
        <f t="shared" si="1"/>
        <v>84.36</v>
      </c>
      <c r="M89" s="52" t="s">
        <v>575</v>
      </c>
    </row>
    <row r="90" spans="2:13" ht="15" customHeight="1" x14ac:dyDescent="0.3">
      <c r="B90" s="162">
        <v>17</v>
      </c>
      <c r="E90" s="163">
        <v>8</v>
      </c>
      <c r="F90" s="164" t="s">
        <v>1074</v>
      </c>
      <c r="G90" s="164" t="s">
        <v>648</v>
      </c>
      <c r="H90" s="165">
        <v>28.12</v>
      </c>
      <c r="I90" s="165">
        <v>0</v>
      </c>
      <c r="J90" s="166">
        <f t="shared" si="1"/>
        <v>28.12</v>
      </c>
      <c r="M90" s="52" t="s">
        <v>575</v>
      </c>
    </row>
    <row r="91" spans="2:13" ht="15" customHeight="1" x14ac:dyDescent="0.3">
      <c r="B91" s="162">
        <v>17</v>
      </c>
      <c r="E91" s="163">
        <v>8</v>
      </c>
      <c r="F91" s="164" t="s">
        <v>1073</v>
      </c>
      <c r="G91" s="164" t="s">
        <v>648</v>
      </c>
      <c r="H91" s="165">
        <v>470.67</v>
      </c>
      <c r="I91" s="165">
        <v>0</v>
      </c>
      <c r="J91" s="166">
        <f t="shared" si="1"/>
        <v>470.67</v>
      </c>
      <c r="M91" s="52" t="s">
        <v>575</v>
      </c>
    </row>
    <row r="92" spans="2:13" ht="15" customHeight="1" x14ac:dyDescent="0.3">
      <c r="B92" s="162">
        <v>17</v>
      </c>
      <c r="E92" s="163">
        <v>8</v>
      </c>
      <c r="F92" s="164" t="s">
        <v>1069</v>
      </c>
      <c r="G92" s="164" t="s">
        <v>648</v>
      </c>
      <c r="H92" s="165">
        <v>291.10000000000002</v>
      </c>
      <c r="I92" s="165">
        <v>0</v>
      </c>
      <c r="J92" s="166">
        <f t="shared" si="1"/>
        <v>291.10000000000002</v>
      </c>
      <c r="M92" s="52" t="s">
        <v>575</v>
      </c>
    </row>
    <row r="93" spans="2:13" ht="15" customHeight="1" x14ac:dyDescent="0.3">
      <c r="B93" s="162">
        <v>17</v>
      </c>
      <c r="E93" s="163">
        <v>8</v>
      </c>
      <c r="F93" s="164" t="s">
        <v>1075</v>
      </c>
      <c r="G93" s="164" t="s">
        <v>648</v>
      </c>
      <c r="H93" s="165">
        <v>108.14</v>
      </c>
      <c r="I93" s="165">
        <v>0</v>
      </c>
      <c r="J93" s="166">
        <f t="shared" si="1"/>
        <v>108.14</v>
      </c>
      <c r="M93" s="52" t="s">
        <v>575</v>
      </c>
    </row>
    <row r="94" spans="2:13" ht="15" customHeight="1" x14ac:dyDescent="0.3">
      <c r="B94" s="162">
        <v>17</v>
      </c>
      <c r="E94" s="163">
        <v>8</v>
      </c>
      <c r="F94" s="164" t="s">
        <v>1070</v>
      </c>
      <c r="G94" s="164" t="s">
        <v>648</v>
      </c>
      <c r="H94" s="165">
        <v>91.91</v>
      </c>
      <c r="I94" s="165">
        <v>0</v>
      </c>
      <c r="J94" s="166">
        <f t="shared" si="1"/>
        <v>91.91</v>
      </c>
      <c r="M94" s="52" t="s">
        <v>575</v>
      </c>
    </row>
    <row r="95" spans="2:13" ht="15" customHeight="1" x14ac:dyDescent="0.3">
      <c r="B95" s="162">
        <v>17</v>
      </c>
      <c r="E95" s="163">
        <v>8</v>
      </c>
      <c r="F95" s="164" t="s">
        <v>1076</v>
      </c>
      <c r="G95" s="164" t="s">
        <v>648</v>
      </c>
      <c r="H95" s="165">
        <v>1704.42</v>
      </c>
      <c r="I95" s="165">
        <v>0</v>
      </c>
      <c r="J95" s="166">
        <f t="shared" si="1"/>
        <v>1704.42</v>
      </c>
      <c r="M95" s="52" t="s">
        <v>575</v>
      </c>
    </row>
    <row r="96" spans="2:13" ht="15" customHeight="1" x14ac:dyDescent="0.3">
      <c r="B96" s="162">
        <v>17</v>
      </c>
      <c r="E96" s="163">
        <v>8</v>
      </c>
      <c r="F96" s="164" t="s">
        <v>1077</v>
      </c>
      <c r="G96" s="164" t="s">
        <v>648</v>
      </c>
      <c r="H96" s="165">
        <v>151.52000000000001</v>
      </c>
      <c r="I96" s="165">
        <v>0</v>
      </c>
      <c r="J96" s="166">
        <f t="shared" si="1"/>
        <v>151.52000000000001</v>
      </c>
      <c r="M96" s="52" t="s">
        <v>575</v>
      </c>
    </row>
    <row r="97" spans="2:13" ht="15" customHeight="1" x14ac:dyDescent="0.3">
      <c r="B97" s="162">
        <v>17</v>
      </c>
      <c r="E97" s="163">
        <v>8</v>
      </c>
      <c r="F97" s="164" t="s">
        <v>1078</v>
      </c>
      <c r="G97" s="164" t="s">
        <v>1079</v>
      </c>
      <c r="H97" s="165">
        <v>388.5</v>
      </c>
      <c r="I97" s="165">
        <v>0</v>
      </c>
      <c r="J97" s="166">
        <f t="shared" si="1"/>
        <v>388.5</v>
      </c>
      <c r="M97" s="52" t="s">
        <v>575</v>
      </c>
    </row>
    <row r="98" spans="2:13" ht="15" customHeight="1" x14ac:dyDescent="0.3">
      <c r="B98" s="162">
        <v>17</v>
      </c>
      <c r="E98" s="163">
        <v>8</v>
      </c>
      <c r="F98" s="164" t="s">
        <v>1080</v>
      </c>
      <c r="G98" s="164" t="s">
        <v>580</v>
      </c>
      <c r="H98" s="165">
        <v>2589</v>
      </c>
      <c r="I98" s="165">
        <v>0</v>
      </c>
      <c r="J98" s="166">
        <f t="shared" si="1"/>
        <v>2589</v>
      </c>
      <c r="M98" s="52">
        <v>12314</v>
      </c>
    </row>
    <row r="99" spans="2:13" ht="15" customHeight="1" x14ac:dyDescent="0.3">
      <c r="B99" s="162">
        <v>17</v>
      </c>
      <c r="E99" s="163">
        <v>8</v>
      </c>
      <c r="F99" s="164" t="s">
        <v>264</v>
      </c>
      <c r="G99" s="164" t="s">
        <v>1081</v>
      </c>
      <c r="H99" s="165">
        <v>3089.8</v>
      </c>
      <c r="I99" s="165">
        <v>0</v>
      </c>
      <c r="J99" s="166">
        <f t="shared" si="1"/>
        <v>3089.8</v>
      </c>
      <c r="M99" s="52">
        <v>12341</v>
      </c>
    </row>
    <row r="100" spans="2:13" ht="15" customHeight="1" x14ac:dyDescent="0.3">
      <c r="B100" s="162">
        <v>17</v>
      </c>
      <c r="E100" s="163">
        <v>8</v>
      </c>
      <c r="F100" s="164" t="s">
        <v>264</v>
      </c>
      <c r="G100" s="164" t="s">
        <v>1082</v>
      </c>
      <c r="H100" s="165">
        <v>5931.69</v>
      </c>
      <c r="I100" s="165">
        <v>0</v>
      </c>
      <c r="J100" s="166">
        <f t="shared" si="1"/>
        <v>5931.69</v>
      </c>
      <c r="M100" s="52">
        <v>12342</v>
      </c>
    </row>
    <row r="101" spans="2:13" ht="15" customHeight="1" x14ac:dyDescent="0.3">
      <c r="B101" s="162">
        <v>17</v>
      </c>
      <c r="E101" s="163">
        <v>8</v>
      </c>
      <c r="F101" s="164" t="s">
        <v>1083</v>
      </c>
      <c r="G101" s="164" t="s">
        <v>1084</v>
      </c>
      <c r="H101" s="165">
        <v>8451.7900000000009</v>
      </c>
      <c r="I101" s="165">
        <v>0</v>
      </c>
      <c r="J101" s="166">
        <f t="shared" si="1"/>
        <v>8451.7900000000009</v>
      </c>
      <c r="M101" s="52">
        <v>12343</v>
      </c>
    </row>
    <row r="102" spans="2:13" ht="15" customHeight="1" x14ac:dyDescent="0.3">
      <c r="B102" s="162">
        <v>17</v>
      </c>
      <c r="E102" s="163">
        <v>8</v>
      </c>
      <c r="F102" s="164" t="s">
        <v>1085</v>
      </c>
      <c r="G102" s="164" t="s">
        <v>942</v>
      </c>
      <c r="H102" s="165">
        <v>13500</v>
      </c>
      <c r="I102" s="165">
        <v>0</v>
      </c>
      <c r="J102" s="166">
        <f t="shared" si="1"/>
        <v>13500</v>
      </c>
      <c r="M102" s="52">
        <v>12309.000000000002</v>
      </c>
    </row>
    <row r="103" spans="2:13" ht="15" customHeight="1" x14ac:dyDescent="0.3">
      <c r="B103" s="162">
        <v>17</v>
      </c>
      <c r="E103" s="163">
        <v>8</v>
      </c>
      <c r="F103" s="164" t="s">
        <v>1086</v>
      </c>
      <c r="G103" s="164" t="s">
        <v>1087</v>
      </c>
      <c r="H103" s="165">
        <v>18875</v>
      </c>
      <c r="I103" s="165">
        <v>1887.5</v>
      </c>
      <c r="J103" s="166">
        <f t="shared" si="1"/>
        <v>16987.5</v>
      </c>
      <c r="M103" s="52">
        <v>12313</v>
      </c>
    </row>
    <row r="104" spans="2:13" ht="15" customHeight="1" x14ac:dyDescent="0.3">
      <c r="B104" s="162">
        <v>17</v>
      </c>
      <c r="E104" s="163">
        <v>8</v>
      </c>
      <c r="F104" s="164" t="s">
        <v>305</v>
      </c>
      <c r="G104" s="164" t="s">
        <v>580</v>
      </c>
      <c r="H104" s="165">
        <v>7735</v>
      </c>
      <c r="I104" s="165">
        <v>0</v>
      </c>
      <c r="J104" s="166">
        <f t="shared" si="1"/>
        <v>7735</v>
      </c>
      <c r="M104" s="52">
        <v>12314</v>
      </c>
    </row>
    <row r="105" spans="2:13" ht="15" customHeight="1" x14ac:dyDescent="0.3">
      <c r="B105" s="162">
        <v>17</v>
      </c>
      <c r="E105" s="163">
        <v>8</v>
      </c>
      <c r="F105" s="164" t="s">
        <v>1088</v>
      </c>
      <c r="G105" s="164" t="s">
        <v>455</v>
      </c>
      <c r="H105" s="165">
        <v>9620</v>
      </c>
      <c r="I105" s="165">
        <v>0</v>
      </c>
      <c r="J105" s="166">
        <f t="shared" si="1"/>
        <v>9620</v>
      </c>
      <c r="M105" s="52">
        <v>12476</v>
      </c>
    </row>
    <row r="106" spans="2:13" ht="15" customHeight="1" x14ac:dyDescent="0.3">
      <c r="B106" s="162">
        <v>17</v>
      </c>
      <c r="E106" s="163">
        <v>8</v>
      </c>
      <c r="F106" s="164" t="s">
        <v>1085</v>
      </c>
      <c r="G106" s="164" t="s">
        <v>942</v>
      </c>
      <c r="H106" s="165">
        <v>10237.31</v>
      </c>
      <c r="I106" s="165">
        <v>0</v>
      </c>
      <c r="J106" s="166">
        <f t="shared" si="1"/>
        <v>10237.31</v>
      </c>
      <c r="M106" s="52" t="s">
        <v>575</v>
      </c>
    </row>
    <row r="107" spans="2:13" ht="15" customHeight="1" x14ac:dyDescent="0.3">
      <c r="B107" s="162">
        <v>17</v>
      </c>
      <c r="E107" s="163">
        <v>8</v>
      </c>
      <c r="F107" s="164" t="s">
        <v>1088</v>
      </c>
      <c r="G107" s="164" t="s">
        <v>455</v>
      </c>
      <c r="H107" s="165">
        <v>9435</v>
      </c>
      <c r="I107" s="165">
        <v>0</v>
      </c>
      <c r="J107" s="166">
        <f t="shared" si="1"/>
        <v>9435</v>
      </c>
      <c r="M107" s="52" t="s">
        <v>575</v>
      </c>
    </row>
    <row r="108" spans="2:13" ht="15" customHeight="1" x14ac:dyDescent="0.3">
      <c r="B108" s="162">
        <v>17</v>
      </c>
      <c r="E108" s="163">
        <v>8</v>
      </c>
      <c r="F108" s="164" t="s">
        <v>1089</v>
      </c>
      <c r="G108" s="164" t="s">
        <v>564</v>
      </c>
      <c r="H108" s="165">
        <v>16271.53</v>
      </c>
      <c r="I108" s="165">
        <v>0</v>
      </c>
      <c r="J108" s="166">
        <f t="shared" si="1"/>
        <v>16271.53</v>
      </c>
      <c r="M108" s="52" t="s">
        <v>575</v>
      </c>
    </row>
    <row r="109" spans="2:13" ht="15" customHeight="1" x14ac:dyDescent="0.3">
      <c r="B109" s="162">
        <v>17</v>
      </c>
      <c r="E109" s="163">
        <v>9</v>
      </c>
      <c r="F109" s="164" t="s">
        <v>676</v>
      </c>
      <c r="G109" s="164" t="s">
        <v>1090</v>
      </c>
      <c r="H109" s="165">
        <v>109.85</v>
      </c>
      <c r="I109" s="165">
        <v>0</v>
      </c>
      <c r="J109" s="166">
        <f t="shared" si="1"/>
        <v>109.85</v>
      </c>
      <c r="M109" s="52">
        <v>12206.999999999998</v>
      </c>
    </row>
    <row r="110" spans="2:13" ht="15" customHeight="1" x14ac:dyDescent="0.3">
      <c r="B110" s="162">
        <v>17</v>
      </c>
      <c r="E110" s="163">
        <v>9</v>
      </c>
      <c r="F110" s="164" t="s">
        <v>676</v>
      </c>
      <c r="G110" s="164" t="s">
        <v>1091</v>
      </c>
      <c r="H110" s="165">
        <v>55.53</v>
      </c>
      <c r="I110" s="165">
        <v>0</v>
      </c>
      <c r="J110" s="166">
        <f t="shared" si="1"/>
        <v>55.53</v>
      </c>
      <c r="M110" s="52">
        <v>12210</v>
      </c>
    </row>
    <row r="111" spans="2:13" ht="15" customHeight="1" x14ac:dyDescent="0.3">
      <c r="B111" s="162">
        <v>17</v>
      </c>
      <c r="E111" s="163">
        <v>9</v>
      </c>
      <c r="F111" s="164" t="s">
        <v>676</v>
      </c>
      <c r="G111" s="164" t="s">
        <v>1092</v>
      </c>
      <c r="H111" s="165">
        <v>79.739999999999995</v>
      </c>
      <c r="I111" s="165">
        <v>0</v>
      </c>
      <c r="J111" s="166">
        <f t="shared" si="1"/>
        <v>79.739999999999995</v>
      </c>
      <c r="M111" s="52">
        <v>12211</v>
      </c>
    </row>
    <row r="112" spans="2:13" ht="15" customHeight="1" x14ac:dyDescent="0.3">
      <c r="B112" s="162">
        <v>17</v>
      </c>
      <c r="E112" s="163">
        <v>9</v>
      </c>
      <c r="F112" s="164" t="s">
        <v>676</v>
      </c>
      <c r="G112" s="164" t="s">
        <v>1093</v>
      </c>
      <c r="H112" s="165">
        <v>96.32</v>
      </c>
      <c r="I112" s="165">
        <v>0</v>
      </c>
      <c r="J112" s="166">
        <f t="shared" si="1"/>
        <v>96.32</v>
      </c>
      <c r="M112" s="52">
        <v>12219</v>
      </c>
    </row>
    <row r="113" spans="2:13" ht="15" customHeight="1" x14ac:dyDescent="0.3">
      <c r="B113" s="162">
        <v>17</v>
      </c>
      <c r="E113" s="163">
        <v>9</v>
      </c>
      <c r="F113" s="164" t="s">
        <v>772</v>
      </c>
      <c r="G113" s="164" t="s">
        <v>1094</v>
      </c>
      <c r="H113" s="165">
        <v>297.62</v>
      </c>
      <c r="I113" s="165">
        <v>0</v>
      </c>
      <c r="J113" s="166">
        <f t="shared" si="1"/>
        <v>297.62</v>
      </c>
      <c r="M113" s="52">
        <v>12220</v>
      </c>
    </row>
    <row r="114" spans="2:13" ht="15" customHeight="1" x14ac:dyDescent="0.3">
      <c r="B114" s="162">
        <v>17</v>
      </c>
      <c r="E114" s="163">
        <v>9</v>
      </c>
      <c r="F114" s="164" t="s">
        <v>772</v>
      </c>
      <c r="G114" s="164" t="s">
        <v>1095</v>
      </c>
      <c r="H114" s="165">
        <v>126.43</v>
      </c>
      <c r="I114" s="165">
        <v>0</v>
      </c>
      <c r="J114" s="166">
        <f t="shared" si="1"/>
        <v>126.43</v>
      </c>
      <c r="M114" s="52">
        <v>12222</v>
      </c>
    </row>
    <row r="115" spans="2:13" ht="15" customHeight="1" x14ac:dyDescent="0.3">
      <c r="B115" s="162">
        <v>17</v>
      </c>
      <c r="E115" s="163">
        <v>9</v>
      </c>
      <c r="F115" s="164" t="s">
        <v>815</v>
      </c>
      <c r="G115" s="164" t="s">
        <v>1096</v>
      </c>
      <c r="H115" s="165">
        <v>10.95</v>
      </c>
      <c r="I115" s="165">
        <v>0</v>
      </c>
      <c r="J115" s="166">
        <f t="shared" si="1"/>
        <v>10.95</v>
      </c>
      <c r="M115" s="52">
        <v>12224</v>
      </c>
    </row>
    <row r="116" spans="2:13" ht="15" customHeight="1" x14ac:dyDescent="0.3">
      <c r="B116" s="162">
        <v>17</v>
      </c>
      <c r="E116" s="163">
        <v>9</v>
      </c>
      <c r="F116" s="164" t="s">
        <v>772</v>
      </c>
      <c r="G116" s="164" t="s">
        <v>1097</v>
      </c>
      <c r="H116" s="165">
        <v>551.88</v>
      </c>
      <c r="I116" s="165">
        <v>0</v>
      </c>
      <c r="J116" s="166">
        <f t="shared" si="1"/>
        <v>551.88</v>
      </c>
      <c r="M116" s="52">
        <v>12225</v>
      </c>
    </row>
    <row r="117" spans="2:13" ht="15" customHeight="1" x14ac:dyDescent="0.3">
      <c r="B117" s="162">
        <v>17</v>
      </c>
      <c r="E117" s="163">
        <v>9</v>
      </c>
      <c r="F117" s="164" t="s">
        <v>1098</v>
      </c>
      <c r="G117" s="164" t="s">
        <v>1042</v>
      </c>
      <c r="H117" s="165">
        <v>-26.63</v>
      </c>
      <c r="I117" s="165">
        <v>0</v>
      </c>
      <c r="J117" s="166">
        <f t="shared" si="1"/>
        <v>-26.63</v>
      </c>
      <c r="M117" s="52">
        <v>12226</v>
      </c>
    </row>
    <row r="118" spans="2:13" ht="15" customHeight="1" x14ac:dyDescent="0.3">
      <c r="B118" s="162">
        <v>17</v>
      </c>
      <c r="E118" s="163">
        <v>9</v>
      </c>
      <c r="F118" s="164" t="s">
        <v>815</v>
      </c>
      <c r="G118" s="164" t="s">
        <v>1099</v>
      </c>
      <c r="H118" s="165">
        <v>54.62</v>
      </c>
      <c r="I118" s="165">
        <v>0</v>
      </c>
      <c r="J118" s="166">
        <f t="shared" si="1"/>
        <v>54.62</v>
      </c>
      <c r="M118" s="52">
        <v>12226</v>
      </c>
    </row>
    <row r="119" spans="2:13" ht="15" customHeight="1" x14ac:dyDescent="0.3">
      <c r="B119" s="162">
        <v>17</v>
      </c>
      <c r="E119" s="163">
        <v>9</v>
      </c>
      <c r="F119" s="164" t="s">
        <v>676</v>
      </c>
      <c r="G119" s="164" t="s">
        <v>1100</v>
      </c>
      <c r="H119" s="165">
        <v>20.58</v>
      </c>
      <c r="I119" s="165">
        <v>0</v>
      </c>
      <c r="J119" s="166">
        <f t="shared" si="1"/>
        <v>20.58</v>
      </c>
      <c r="M119" s="52">
        <v>12228.000000000002</v>
      </c>
    </row>
    <row r="120" spans="2:13" ht="15" customHeight="1" x14ac:dyDescent="0.3">
      <c r="B120" s="162">
        <v>17</v>
      </c>
      <c r="E120" s="163">
        <v>9</v>
      </c>
      <c r="F120" s="164" t="s">
        <v>815</v>
      </c>
      <c r="G120" s="164" t="s">
        <v>1101</v>
      </c>
      <c r="H120" s="165">
        <v>413.53</v>
      </c>
      <c r="I120" s="165">
        <v>0</v>
      </c>
      <c r="J120" s="166">
        <f t="shared" si="1"/>
        <v>413.53</v>
      </c>
      <c r="M120" s="52">
        <v>12231</v>
      </c>
    </row>
    <row r="121" spans="2:13" ht="15" customHeight="1" x14ac:dyDescent="0.3">
      <c r="B121" s="162">
        <v>17</v>
      </c>
      <c r="E121" s="163">
        <v>9</v>
      </c>
      <c r="F121" s="164" t="s">
        <v>1098</v>
      </c>
      <c r="G121" s="164" t="s">
        <v>1042</v>
      </c>
      <c r="H121" s="165">
        <v>-47.62</v>
      </c>
      <c r="I121" s="165">
        <v>0</v>
      </c>
      <c r="J121" s="166">
        <f t="shared" si="1"/>
        <v>-47.62</v>
      </c>
      <c r="M121" s="52">
        <v>12231</v>
      </c>
    </row>
    <row r="122" spans="2:13" ht="15" customHeight="1" x14ac:dyDescent="0.3">
      <c r="B122" s="162">
        <v>17</v>
      </c>
      <c r="E122" s="163">
        <v>9</v>
      </c>
      <c r="F122" s="164" t="s">
        <v>772</v>
      </c>
      <c r="G122" s="164" t="s">
        <v>1102</v>
      </c>
      <c r="H122" s="165">
        <v>257.95999999999998</v>
      </c>
      <c r="I122" s="165">
        <v>0</v>
      </c>
      <c r="J122" s="166">
        <f t="shared" si="1"/>
        <v>257.95999999999998</v>
      </c>
      <c r="M122" s="52">
        <v>12236</v>
      </c>
    </row>
    <row r="123" spans="2:13" ht="15" customHeight="1" x14ac:dyDescent="0.3">
      <c r="B123" s="162">
        <v>17</v>
      </c>
      <c r="E123" s="163">
        <v>9</v>
      </c>
      <c r="F123" s="164" t="s">
        <v>676</v>
      </c>
      <c r="G123" s="164" t="s">
        <v>1103</v>
      </c>
      <c r="H123" s="165">
        <v>47.08</v>
      </c>
      <c r="I123" s="165">
        <v>0</v>
      </c>
      <c r="J123" s="166">
        <f t="shared" si="1"/>
        <v>47.08</v>
      </c>
      <c r="M123" s="52">
        <v>12238</v>
      </c>
    </row>
    <row r="124" spans="2:13" ht="15" customHeight="1" x14ac:dyDescent="0.3">
      <c r="B124" s="162">
        <v>17</v>
      </c>
      <c r="E124" s="163">
        <v>9</v>
      </c>
      <c r="F124" s="164" t="s">
        <v>772</v>
      </c>
      <c r="G124" s="164" t="s">
        <v>1104</v>
      </c>
      <c r="H124" s="165">
        <v>97.87</v>
      </c>
      <c r="I124" s="165">
        <v>0</v>
      </c>
      <c r="J124" s="166">
        <f t="shared" si="1"/>
        <v>97.87</v>
      </c>
      <c r="M124" s="52">
        <v>12241</v>
      </c>
    </row>
    <row r="125" spans="2:13" ht="15" customHeight="1" x14ac:dyDescent="0.3">
      <c r="B125" s="162">
        <v>17</v>
      </c>
      <c r="E125" s="163">
        <v>9</v>
      </c>
      <c r="F125" s="164" t="s">
        <v>772</v>
      </c>
      <c r="G125" s="164" t="s">
        <v>1105</v>
      </c>
      <c r="H125" s="165">
        <v>30.96</v>
      </c>
      <c r="I125" s="165">
        <v>0</v>
      </c>
      <c r="J125" s="166">
        <f t="shared" si="1"/>
        <v>30.96</v>
      </c>
      <c r="M125" s="52">
        <v>12257</v>
      </c>
    </row>
    <row r="126" spans="2:13" ht="15" customHeight="1" x14ac:dyDescent="0.3">
      <c r="B126" s="162">
        <v>17</v>
      </c>
      <c r="E126" s="163">
        <v>9</v>
      </c>
      <c r="F126" s="164" t="s">
        <v>772</v>
      </c>
      <c r="G126" s="164" t="s">
        <v>1106</v>
      </c>
      <c r="H126" s="165">
        <v>140.68</v>
      </c>
      <c r="I126" s="165">
        <v>0</v>
      </c>
      <c r="J126" s="166">
        <f t="shared" si="1"/>
        <v>140.68</v>
      </c>
      <c r="M126" s="52">
        <v>12259</v>
      </c>
    </row>
    <row r="127" spans="2:13" ht="15" customHeight="1" x14ac:dyDescent="0.3">
      <c r="B127" s="162">
        <v>17</v>
      </c>
      <c r="E127" s="163">
        <v>9</v>
      </c>
      <c r="F127" s="164" t="s">
        <v>815</v>
      </c>
      <c r="G127" s="164" t="s">
        <v>1107</v>
      </c>
      <c r="H127" s="165">
        <v>7.03</v>
      </c>
      <c r="I127" s="165">
        <v>0</v>
      </c>
      <c r="J127" s="166">
        <f t="shared" si="1"/>
        <v>7.03</v>
      </c>
      <c r="M127" s="52">
        <v>12265</v>
      </c>
    </row>
    <row r="128" spans="2:13" ht="15" customHeight="1" x14ac:dyDescent="0.3">
      <c r="B128" s="162">
        <v>17</v>
      </c>
      <c r="E128" s="163">
        <v>9</v>
      </c>
      <c r="F128" s="164" t="s">
        <v>676</v>
      </c>
      <c r="G128" s="164" t="s">
        <v>1108</v>
      </c>
      <c r="H128" s="165">
        <v>182.51</v>
      </c>
      <c r="I128" s="165">
        <v>0</v>
      </c>
      <c r="J128" s="166">
        <f t="shared" si="1"/>
        <v>182.51</v>
      </c>
      <c r="M128" s="52">
        <v>12266</v>
      </c>
    </row>
    <row r="129" spans="2:13" ht="15" customHeight="1" x14ac:dyDescent="0.3">
      <c r="B129" s="162">
        <v>17</v>
      </c>
      <c r="E129" s="163">
        <v>9</v>
      </c>
      <c r="F129" s="164" t="s">
        <v>772</v>
      </c>
      <c r="G129" s="164" t="s">
        <v>1109</v>
      </c>
      <c r="H129" s="165">
        <v>285.27</v>
      </c>
      <c r="I129" s="165">
        <v>0</v>
      </c>
      <c r="J129" s="166">
        <f t="shared" si="1"/>
        <v>285.27</v>
      </c>
      <c r="M129" s="52">
        <v>12276</v>
      </c>
    </row>
    <row r="130" spans="2:13" ht="15" customHeight="1" x14ac:dyDescent="0.3">
      <c r="B130" s="162">
        <v>17</v>
      </c>
      <c r="E130" s="163">
        <v>9</v>
      </c>
      <c r="F130" s="164" t="s">
        <v>772</v>
      </c>
      <c r="G130" s="164" t="s">
        <v>1110</v>
      </c>
      <c r="H130" s="165">
        <v>285.08</v>
      </c>
      <c r="I130" s="165">
        <v>0</v>
      </c>
      <c r="J130" s="166">
        <f t="shared" si="1"/>
        <v>285.08</v>
      </c>
      <c r="M130" s="52">
        <v>12277</v>
      </c>
    </row>
    <row r="131" spans="2:13" ht="15" customHeight="1" x14ac:dyDescent="0.3">
      <c r="B131" s="162">
        <v>17</v>
      </c>
      <c r="E131" s="163">
        <v>9</v>
      </c>
      <c r="F131" s="164" t="s">
        <v>815</v>
      </c>
      <c r="G131" s="164" t="s">
        <v>1111</v>
      </c>
      <c r="H131" s="165">
        <v>50.77</v>
      </c>
      <c r="I131" s="165">
        <v>0</v>
      </c>
      <c r="J131" s="166">
        <f t="shared" si="1"/>
        <v>50.77</v>
      </c>
      <c r="M131" s="52">
        <v>12278</v>
      </c>
    </row>
    <row r="132" spans="2:13" ht="15" customHeight="1" x14ac:dyDescent="0.3">
      <c r="B132" s="162">
        <v>17</v>
      </c>
      <c r="E132" s="163">
        <v>9</v>
      </c>
      <c r="F132" s="164" t="s">
        <v>772</v>
      </c>
      <c r="G132" s="164" t="s">
        <v>1112</v>
      </c>
      <c r="H132" s="165">
        <v>132.69</v>
      </c>
      <c r="I132" s="165">
        <v>0</v>
      </c>
      <c r="J132" s="166">
        <f t="shared" si="1"/>
        <v>132.69</v>
      </c>
      <c r="M132" s="52">
        <v>12289.000000000002</v>
      </c>
    </row>
    <row r="133" spans="2:13" ht="15" customHeight="1" x14ac:dyDescent="0.3">
      <c r="B133" s="162">
        <v>17</v>
      </c>
      <c r="E133" s="163">
        <v>9</v>
      </c>
      <c r="F133" s="164" t="s">
        <v>815</v>
      </c>
      <c r="G133" s="164" t="s">
        <v>1113</v>
      </c>
      <c r="H133" s="165">
        <v>35.85</v>
      </c>
      <c r="I133" s="165">
        <v>0</v>
      </c>
      <c r="J133" s="166">
        <f t="shared" si="1"/>
        <v>35.85</v>
      </c>
      <c r="M133" s="52">
        <v>12291</v>
      </c>
    </row>
    <row r="134" spans="2:13" ht="15" customHeight="1" x14ac:dyDescent="0.3">
      <c r="B134" s="162">
        <v>17</v>
      </c>
      <c r="E134" s="163">
        <v>9</v>
      </c>
      <c r="F134" s="164" t="s">
        <v>676</v>
      </c>
      <c r="G134" s="164" t="s">
        <v>1114</v>
      </c>
      <c r="H134" s="165">
        <v>250.69</v>
      </c>
      <c r="I134" s="165">
        <v>0</v>
      </c>
      <c r="J134" s="166">
        <f t="shared" si="1"/>
        <v>250.69</v>
      </c>
      <c r="M134" s="52">
        <v>12292</v>
      </c>
    </row>
    <row r="135" spans="2:13" ht="15" customHeight="1" x14ac:dyDescent="0.3">
      <c r="B135" s="162">
        <v>17</v>
      </c>
      <c r="E135" s="163">
        <v>9</v>
      </c>
      <c r="F135" s="164" t="s">
        <v>772</v>
      </c>
      <c r="G135" s="164" t="s">
        <v>1115</v>
      </c>
      <c r="H135" s="165">
        <v>246.73</v>
      </c>
      <c r="I135" s="165">
        <v>0</v>
      </c>
      <c r="J135" s="166">
        <f t="shared" si="1"/>
        <v>246.73</v>
      </c>
      <c r="M135" s="52">
        <v>12294</v>
      </c>
    </row>
    <row r="136" spans="2:13" ht="15" customHeight="1" x14ac:dyDescent="0.3">
      <c r="B136" s="162">
        <v>17</v>
      </c>
      <c r="E136" s="163">
        <v>9</v>
      </c>
      <c r="F136" s="164" t="s">
        <v>815</v>
      </c>
      <c r="G136" s="164" t="s">
        <v>1116</v>
      </c>
      <c r="H136" s="165">
        <v>71.94</v>
      </c>
      <c r="I136" s="165">
        <v>0</v>
      </c>
      <c r="J136" s="166">
        <f t="shared" si="1"/>
        <v>71.94</v>
      </c>
      <c r="M136" s="52">
        <v>12295</v>
      </c>
    </row>
    <row r="137" spans="2:13" ht="15" customHeight="1" x14ac:dyDescent="0.3">
      <c r="B137" s="162">
        <v>17</v>
      </c>
      <c r="E137" s="163">
        <v>9</v>
      </c>
      <c r="F137" s="164" t="s">
        <v>815</v>
      </c>
      <c r="G137" s="164" t="s">
        <v>1117</v>
      </c>
      <c r="H137" s="165">
        <v>81.489999999999995</v>
      </c>
      <c r="I137" s="165">
        <v>0</v>
      </c>
      <c r="J137" s="166">
        <f t="shared" si="1"/>
        <v>81.489999999999995</v>
      </c>
      <c r="M137" s="52">
        <v>12296</v>
      </c>
    </row>
    <row r="138" spans="2:13" ht="15" customHeight="1" x14ac:dyDescent="0.3">
      <c r="B138" s="162">
        <v>17</v>
      </c>
      <c r="E138" s="163">
        <v>9</v>
      </c>
      <c r="F138" s="164" t="s">
        <v>815</v>
      </c>
      <c r="G138" s="164" t="s">
        <v>1118</v>
      </c>
      <c r="H138" s="165">
        <v>75.47</v>
      </c>
      <c r="I138" s="165">
        <v>0</v>
      </c>
      <c r="J138" s="166">
        <f t="shared" si="1"/>
        <v>75.47</v>
      </c>
      <c r="M138" s="52">
        <v>12297</v>
      </c>
    </row>
    <row r="139" spans="2:13" ht="15" customHeight="1" x14ac:dyDescent="0.3">
      <c r="B139" s="162">
        <v>17</v>
      </c>
      <c r="E139" s="163">
        <v>9</v>
      </c>
      <c r="F139" s="164" t="s">
        <v>772</v>
      </c>
      <c r="G139" s="164" t="s">
        <v>1119</v>
      </c>
      <c r="H139" s="165">
        <v>118.04</v>
      </c>
      <c r="I139" s="165">
        <v>0</v>
      </c>
      <c r="J139" s="166">
        <f t="shared" si="1"/>
        <v>118.04</v>
      </c>
      <c r="M139" s="52">
        <v>12298</v>
      </c>
    </row>
    <row r="140" spans="2:13" ht="15" customHeight="1" x14ac:dyDescent="0.3">
      <c r="B140" s="162">
        <v>17</v>
      </c>
      <c r="E140" s="163">
        <v>9</v>
      </c>
      <c r="F140" s="164" t="s">
        <v>772</v>
      </c>
      <c r="G140" s="164" t="s">
        <v>1120</v>
      </c>
      <c r="H140" s="165">
        <v>209.18</v>
      </c>
      <c r="I140" s="165">
        <v>0</v>
      </c>
      <c r="J140" s="166">
        <f t="shared" si="1"/>
        <v>209.18</v>
      </c>
      <c r="M140" s="52">
        <v>12300</v>
      </c>
    </row>
    <row r="141" spans="2:13" ht="15" customHeight="1" x14ac:dyDescent="0.3">
      <c r="B141" s="162">
        <v>17</v>
      </c>
      <c r="E141" s="163">
        <v>9</v>
      </c>
      <c r="F141" s="164" t="s">
        <v>772</v>
      </c>
      <c r="G141" s="164" t="s">
        <v>1121</v>
      </c>
      <c r="H141" s="165">
        <v>103.83</v>
      </c>
      <c r="I141" s="165">
        <v>0</v>
      </c>
      <c r="J141" s="166">
        <f t="shared" si="1"/>
        <v>103.83</v>
      </c>
      <c r="M141" s="52">
        <v>12301</v>
      </c>
    </row>
    <row r="142" spans="2:13" ht="15" customHeight="1" x14ac:dyDescent="0.3">
      <c r="B142" s="162">
        <v>17</v>
      </c>
      <c r="E142" s="163">
        <v>9</v>
      </c>
      <c r="F142" s="164" t="s">
        <v>772</v>
      </c>
      <c r="G142" s="164" t="s">
        <v>1122</v>
      </c>
      <c r="H142" s="165">
        <v>394.94</v>
      </c>
      <c r="I142" s="165">
        <v>0</v>
      </c>
      <c r="J142" s="166">
        <f t="shared" si="1"/>
        <v>394.94</v>
      </c>
      <c r="M142" s="52">
        <v>12302</v>
      </c>
    </row>
    <row r="143" spans="2:13" ht="15" customHeight="1" x14ac:dyDescent="0.3">
      <c r="B143" s="162">
        <v>17</v>
      </c>
      <c r="E143" s="163">
        <v>9</v>
      </c>
      <c r="F143" s="164" t="s">
        <v>772</v>
      </c>
      <c r="G143" s="164" t="s">
        <v>1123</v>
      </c>
      <c r="H143" s="165">
        <v>171.08</v>
      </c>
      <c r="I143" s="165">
        <v>0</v>
      </c>
      <c r="J143" s="166">
        <f t="shared" si="1"/>
        <v>171.08</v>
      </c>
      <c r="M143" s="52">
        <v>12303</v>
      </c>
    </row>
    <row r="144" spans="2:13" ht="15" customHeight="1" x14ac:dyDescent="0.3">
      <c r="B144" s="162">
        <v>17</v>
      </c>
      <c r="E144" s="163">
        <v>9</v>
      </c>
      <c r="F144" s="164" t="s">
        <v>815</v>
      </c>
      <c r="G144" s="164" t="s">
        <v>1124</v>
      </c>
      <c r="H144" s="165">
        <v>316.92</v>
      </c>
      <c r="I144" s="165">
        <v>0</v>
      </c>
      <c r="J144" s="166">
        <f t="shared" si="1"/>
        <v>316.92</v>
      </c>
      <c r="M144" s="52">
        <v>12306</v>
      </c>
    </row>
    <row r="145" spans="2:13" ht="15" customHeight="1" x14ac:dyDescent="0.3">
      <c r="B145" s="162">
        <v>17</v>
      </c>
      <c r="E145" s="163">
        <v>9</v>
      </c>
      <c r="F145" s="164" t="s">
        <v>1125</v>
      </c>
      <c r="G145" s="164" t="s">
        <v>1126</v>
      </c>
      <c r="H145" s="165">
        <v>215.41</v>
      </c>
      <c r="I145" s="165">
        <v>0</v>
      </c>
      <c r="J145" s="166">
        <f t="shared" si="1"/>
        <v>215.41</v>
      </c>
      <c r="M145" s="52">
        <v>12315</v>
      </c>
    </row>
    <row r="146" spans="2:13" ht="15" customHeight="1" x14ac:dyDescent="0.3">
      <c r="B146" s="162">
        <v>17</v>
      </c>
      <c r="E146" s="163">
        <v>9</v>
      </c>
      <c r="F146" s="164" t="s">
        <v>676</v>
      </c>
      <c r="G146" s="164" t="s">
        <v>1127</v>
      </c>
      <c r="H146" s="165">
        <v>208.26</v>
      </c>
      <c r="I146" s="165">
        <v>0</v>
      </c>
      <c r="J146" s="166">
        <f t="shared" si="1"/>
        <v>208.26</v>
      </c>
      <c r="M146" s="52">
        <v>12321</v>
      </c>
    </row>
    <row r="147" spans="2:13" ht="15" customHeight="1" x14ac:dyDescent="0.3">
      <c r="B147" s="162">
        <v>17</v>
      </c>
      <c r="E147" s="163">
        <v>9</v>
      </c>
      <c r="F147" s="164" t="s">
        <v>676</v>
      </c>
      <c r="G147" s="164" t="s">
        <v>1128</v>
      </c>
      <c r="H147" s="165">
        <v>231.82</v>
      </c>
      <c r="I147" s="165">
        <v>0</v>
      </c>
      <c r="J147" s="166">
        <f t="shared" si="1"/>
        <v>231.82</v>
      </c>
      <c r="M147" s="52">
        <v>12322</v>
      </c>
    </row>
    <row r="148" spans="2:13" ht="15" customHeight="1" x14ac:dyDescent="0.3">
      <c r="B148" s="162">
        <v>17</v>
      </c>
      <c r="E148" s="163">
        <v>9</v>
      </c>
      <c r="F148" s="164" t="s">
        <v>815</v>
      </c>
      <c r="G148" s="164" t="s">
        <v>1129</v>
      </c>
      <c r="H148" s="165">
        <v>17.260000000000002</v>
      </c>
      <c r="I148" s="165">
        <v>0</v>
      </c>
      <c r="J148" s="166">
        <f t="shared" si="1"/>
        <v>17.260000000000002</v>
      </c>
      <c r="M148" s="52">
        <v>12324</v>
      </c>
    </row>
    <row r="149" spans="2:13" ht="15" customHeight="1" x14ac:dyDescent="0.3">
      <c r="B149" s="162">
        <v>17</v>
      </c>
      <c r="E149" s="163">
        <v>9</v>
      </c>
      <c r="F149" s="164" t="s">
        <v>676</v>
      </c>
      <c r="G149" s="164" t="s">
        <v>1130</v>
      </c>
      <c r="H149" s="165">
        <v>30.44</v>
      </c>
      <c r="I149" s="165">
        <v>0</v>
      </c>
      <c r="J149" s="166">
        <f t="shared" si="1"/>
        <v>30.44</v>
      </c>
      <c r="M149" s="52">
        <v>12325</v>
      </c>
    </row>
    <row r="150" spans="2:13" ht="15" customHeight="1" x14ac:dyDescent="0.3">
      <c r="B150" s="162">
        <v>17</v>
      </c>
      <c r="E150" s="163">
        <v>9</v>
      </c>
      <c r="F150" s="164" t="s">
        <v>772</v>
      </c>
      <c r="G150" s="164" t="s">
        <v>1131</v>
      </c>
      <c r="H150" s="165">
        <v>57.09</v>
      </c>
      <c r="I150" s="165">
        <v>0</v>
      </c>
      <c r="J150" s="166">
        <f t="shared" si="1"/>
        <v>57.09</v>
      </c>
      <c r="M150" s="52">
        <v>12327.999999999998</v>
      </c>
    </row>
    <row r="151" spans="2:13" ht="15" customHeight="1" x14ac:dyDescent="0.3">
      <c r="B151" s="162">
        <v>17</v>
      </c>
      <c r="E151" s="163">
        <v>9</v>
      </c>
      <c r="F151" s="164" t="s">
        <v>772</v>
      </c>
      <c r="G151" s="164" t="s">
        <v>1132</v>
      </c>
      <c r="H151" s="165">
        <v>134.34</v>
      </c>
      <c r="I151" s="165">
        <v>0</v>
      </c>
      <c r="J151" s="166">
        <f t="shared" ref="J151:J213" si="2">H151-I151</f>
        <v>134.34</v>
      </c>
      <c r="M151" s="52">
        <v>12329.000000000002</v>
      </c>
    </row>
    <row r="152" spans="2:13" ht="15" customHeight="1" x14ac:dyDescent="0.3">
      <c r="B152" s="162">
        <v>17</v>
      </c>
      <c r="E152" s="163">
        <v>9</v>
      </c>
      <c r="F152" s="164" t="s">
        <v>772</v>
      </c>
      <c r="G152" s="164" t="s">
        <v>1133</v>
      </c>
      <c r="H152" s="165">
        <v>399.33</v>
      </c>
      <c r="I152" s="165">
        <v>0</v>
      </c>
      <c r="J152" s="166">
        <f t="shared" si="2"/>
        <v>399.33</v>
      </c>
      <c r="M152" s="52">
        <v>12335</v>
      </c>
    </row>
    <row r="153" spans="2:13" ht="15" customHeight="1" x14ac:dyDescent="0.3">
      <c r="B153" s="162">
        <v>17</v>
      </c>
      <c r="E153" s="163">
        <v>9</v>
      </c>
      <c r="F153" s="164" t="s">
        <v>772</v>
      </c>
      <c r="G153" s="164" t="s">
        <v>1134</v>
      </c>
      <c r="H153" s="165">
        <v>267.19</v>
      </c>
      <c r="I153" s="165">
        <v>0</v>
      </c>
      <c r="J153" s="166">
        <f t="shared" si="2"/>
        <v>267.19</v>
      </c>
      <c r="M153" s="52">
        <v>12336</v>
      </c>
    </row>
    <row r="154" spans="2:13" ht="15" customHeight="1" x14ac:dyDescent="0.3">
      <c r="B154" s="162">
        <v>17</v>
      </c>
      <c r="E154" s="163">
        <v>9</v>
      </c>
      <c r="F154" s="164" t="s">
        <v>772</v>
      </c>
      <c r="G154" s="164" t="s">
        <v>1135</v>
      </c>
      <c r="H154" s="165">
        <v>149.26</v>
      </c>
      <c r="I154" s="165">
        <v>0</v>
      </c>
      <c r="J154" s="166">
        <f t="shared" si="2"/>
        <v>149.26</v>
      </c>
      <c r="M154" s="52">
        <v>12339</v>
      </c>
    </row>
    <row r="155" spans="2:13" ht="15" customHeight="1" x14ac:dyDescent="0.3">
      <c r="B155" s="162">
        <v>17</v>
      </c>
      <c r="E155" s="163">
        <v>9</v>
      </c>
      <c r="F155" s="164" t="s">
        <v>815</v>
      </c>
      <c r="G155" s="164" t="s">
        <v>1136</v>
      </c>
      <c r="H155" s="165">
        <v>94.37</v>
      </c>
      <c r="I155" s="165">
        <v>0</v>
      </c>
      <c r="J155" s="166">
        <f t="shared" si="2"/>
        <v>94.37</v>
      </c>
      <c r="M155" s="52">
        <v>12346</v>
      </c>
    </row>
    <row r="156" spans="2:13" ht="15" customHeight="1" x14ac:dyDescent="0.3">
      <c r="B156" s="162">
        <v>17</v>
      </c>
      <c r="E156" s="163">
        <v>9</v>
      </c>
      <c r="F156" s="164" t="s">
        <v>676</v>
      </c>
      <c r="G156" s="164" t="s">
        <v>1137</v>
      </c>
      <c r="H156" s="165">
        <v>527.09</v>
      </c>
      <c r="I156" s="165">
        <v>0</v>
      </c>
      <c r="J156" s="166">
        <f t="shared" si="2"/>
        <v>527.09</v>
      </c>
      <c r="M156" s="52">
        <v>12401</v>
      </c>
    </row>
    <row r="157" spans="2:13" ht="15" customHeight="1" x14ac:dyDescent="0.3">
      <c r="B157" s="162">
        <v>17</v>
      </c>
      <c r="E157" s="163">
        <v>9</v>
      </c>
      <c r="F157" s="164" t="s">
        <v>772</v>
      </c>
      <c r="G157" s="164" t="s">
        <v>1138</v>
      </c>
      <c r="H157" s="165">
        <v>440.76</v>
      </c>
      <c r="I157" s="165">
        <v>0</v>
      </c>
      <c r="J157" s="166">
        <f t="shared" si="2"/>
        <v>440.76</v>
      </c>
      <c r="M157" s="52">
        <v>12402</v>
      </c>
    </row>
    <row r="158" spans="2:13" ht="15" customHeight="1" x14ac:dyDescent="0.3">
      <c r="B158" s="162">
        <v>17</v>
      </c>
      <c r="E158" s="163">
        <v>9</v>
      </c>
      <c r="F158" s="164" t="s">
        <v>815</v>
      </c>
      <c r="G158" s="164" t="s">
        <v>1139</v>
      </c>
      <c r="H158" s="165">
        <v>162.72</v>
      </c>
      <c r="I158" s="165">
        <v>0</v>
      </c>
      <c r="J158" s="166">
        <f t="shared" si="2"/>
        <v>162.72</v>
      </c>
      <c r="M158" s="52">
        <v>12457</v>
      </c>
    </row>
    <row r="159" spans="2:13" ht="15" customHeight="1" x14ac:dyDescent="0.3">
      <c r="B159" s="162">
        <v>17</v>
      </c>
      <c r="E159" s="163">
        <v>9</v>
      </c>
      <c r="F159" s="164" t="s">
        <v>815</v>
      </c>
      <c r="G159" s="164" t="s">
        <v>1140</v>
      </c>
      <c r="H159" s="165">
        <v>150.9</v>
      </c>
      <c r="I159" s="165">
        <v>0</v>
      </c>
      <c r="J159" s="166">
        <f t="shared" si="2"/>
        <v>150.9</v>
      </c>
      <c r="M159" s="52">
        <v>12460</v>
      </c>
    </row>
    <row r="160" spans="2:13" ht="15" customHeight="1" x14ac:dyDescent="0.3">
      <c r="B160" s="162">
        <v>17</v>
      </c>
      <c r="E160" s="163">
        <v>9</v>
      </c>
      <c r="F160" s="164" t="s">
        <v>772</v>
      </c>
      <c r="G160" s="164" t="s">
        <v>1141</v>
      </c>
      <c r="H160" s="165">
        <v>65.760000000000005</v>
      </c>
      <c r="I160" s="165">
        <v>0</v>
      </c>
      <c r="J160" s="166">
        <f t="shared" si="2"/>
        <v>65.760000000000005</v>
      </c>
      <c r="M160" s="52">
        <v>12465</v>
      </c>
    </row>
    <row r="161" spans="2:13" ht="15" customHeight="1" x14ac:dyDescent="0.3">
      <c r="B161" s="162">
        <v>17</v>
      </c>
      <c r="E161" s="163">
        <v>9</v>
      </c>
      <c r="F161" s="164" t="s">
        <v>1142</v>
      </c>
      <c r="G161" s="164" t="s">
        <v>1143</v>
      </c>
      <c r="H161" s="165">
        <v>19111</v>
      </c>
      <c r="I161" s="165">
        <v>0</v>
      </c>
      <c r="J161" s="166">
        <f t="shared" si="2"/>
        <v>19111</v>
      </c>
      <c r="M161" s="52">
        <v>12471</v>
      </c>
    </row>
    <row r="162" spans="2:13" ht="15" customHeight="1" x14ac:dyDescent="0.3">
      <c r="B162" s="162">
        <v>17</v>
      </c>
      <c r="E162" s="163">
        <v>9</v>
      </c>
      <c r="F162" s="164" t="s">
        <v>772</v>
      </c>
      <c r="G162" s="164" t="s">
        <v>1144</v>
      </c>
      <c r="H162" s="165">
        <v>141.74</v>
      </c>
      <c r="I162" s="165">
        <v>0</v>
      </c>
      <c r="J162" s="166">
        <f t="shared" si="2"/>
        <v>141.74</v>
      </c>
      <c r="M162" s="52" t="s">
        <v>575</v>
      </c>
    </row>
    <row r="163" spans="2:13" ht="15" customHeight="1" x14ac:dyDescent="0.3">
      <c r="B163" s="162">
        <v>17</v>
      </c>
      <c r="E163" s="163">
        <v>9</v>
      </c>
      <c r="F163" s="164" t="s">
        <v>772</v>
      </c>
      <c r="G163" s="164" t="s">
        <v>1145</v>
      </c>
      <c r="H163" s="165">
        <v>687.08</v>
      </c>
      <c r="I163" s="165">
        <v>0</v>
      </c>
      <c r="J163" s="166">
        <f t="shared" si="2"/>
        <v>687.08</v>
      </c>
      <c r="M163" s="52" t="s">
        <v>575</v>
      </c>
    </row>
    <row r="164" spans="2:13" ht="15" customHeight="1" x14ac:dyDescent="0.3">
      <c r="B164" s="162">
        <v>17</v>
      </c>
      <c r="E164" s="163">
        <v>9</v>
      </c>
      <c r="F164" s="164" t="s">
        <v>772</v>
      </c>
      <c r="G164" s="164" t="s">
        <v>785</v>
      </c>
      <c r="H164" s="165">
        <v>200.04</v>
      </c>
      <c r="I164" s="165">
        <v>0</v>
      </c>
      <c r="J164" s="166">
        <f t="shared" si="2"/>
        <v>200.04</v>
      </c>
      <c r="M164" s="52" t="s">
        <v>575</v>
      </c>
    </row>
    <row r="165" spans="2:13" ht="15" customHeight="1" x14ac:dyDescent="0.3">
      <c r="B165" s="162">
        <v>17</v>
      </c>
      <c r="E165" s="163">
        <v>9</v>
      </c>
      <c r="F165" s="164" t="s">
        <v>815</v>
      </c>
      <c r="G165" s="164" t="s">
        <v>983</v>
      </c>
      <c r="H165" s="165">
        <v>822.67</v>
      </c>
      <c r="I165" s="165">
        <v>0</v>
      </c>
      <c r="J165" s="166">
        <f t="shared" si="2"/>
        <v>822.67</v>
      </c>
      <c r="M165" s="52" t="s">
        <v>575</v>
      </c>
    </row>
    <row r="166" spans="2:13" ht="15" customHeight="1" x14ac:dyDescent="0.3">
      <c r="B166" s="162">
        <v>17</v>
      </c>
      <c r="E166" s="163">
        <v>9</v>
      </c>
      <c r="F166" s="164" t="s">
        <v>1146</v>
      </c>
      <c r="G166" s="164" t="s">
        <v>648</v>
      </c>
      <c r="H166" s="165">
        <v>29.18</v>
      </c>
      <c r="I166" s="165">
        <v>0</v>
      </c>
      <c r="J166" s="166">
        <f t="shared" si="2"/>
        <v>29.18</v>
      </c>
      <c r="M166" s="52" t="s">
        <v>575</v>
      </c>
    </row>
    <row r="167" spans="2:13" ht="15" customHeight="1" x14ac:dyDescent="0.3">
      <c r="B167" s="162">
        <v>17</v>
      </c>
      <c r="E167" s="163">
        <v>9</v>
      </c>
      <c r="F167" s="164" t="s">
        <v>1147</v>
      </c>
      <c r="G167" s="164" t="s">
        <v>648</v>
      </c>
      <c r="H167" s="165">
        <v>38.72</v>
      </c>
      <c r="I167" s="165">
        <v>0</v>
      </c>
      <c r="J167" s="166">
        <f t="shared" si="2"/>
        <v>38.72</v>
      </c>
      <c r="M167" s="52" t="s">
        <v>575</v>
      </c>
    </row>
    <row r="168" spans="2:13" ht="15" customHeight="1" x14ac:dyDescent="0.3">
      <c r="B168" s="162">
        <v>17</v>
      </c>
      <c r="E168" s="163">
        <v>9</v>
      </c>
      <c r="F168" s="164" t="s">
        <v>1148</v>
      </c>
      <c r="G168" s="164" t="s">
        <v>648</v>
      </c>
      <c r="H168" s="165">
        <v>25.97</v>
      </c>
      <c r="I168" s="165">
        <v>0</v>
      </c>
      <c r="J168" s="166">
        <f t="shared" si="2"/>
        <v>25.97</v>
      </c>
      <c r="M168" s="52" t="s">
        <v>575</v>
      </c>
    </row>
    <row r="169" spans="2:13" ht="15" customHeight="1" x14ac:dyDescent="0.3">
      <c r="B169" s="162">
        <v>17</v>
      </c>
      <c r="E169" s="163">
        <v>9</v>
      </c>
      <c r="F169" s="164" t="s">
        <v>772</v>
      </c>
      <c r="G169" s="164" t="s">
        <v>785</v>
      </c>
      <c r="H169" s="165">
        <v>1920.44</v>
      </c>
      <c r="I169" s="165">
        <v>0</v>
      </c>
      <c r="J169" s="166">
        <f t="shared" si="2"/>
        <v>1920.44</v>
      </c>
      <c r="M169" s="52" t="s">
        <v>575</v>
      </c>
    </row>
    <row r="170" spans="2:13" ht="15" customHeight="1" x14ac:dyDescent="0.3">
      <c r="B170" s="162">
        <v>17</v>
      </c>
      <c r="E170" s="163">
        <v>9</v>
      </c>
      <c r="F170" s="164" t="s">
        <v>772</v>
      </c>
      <c r="G170" s="164" t="s">
        <v>785</v>
      </c>
      <c r="H170" s="165">
        <v>2940.94</v>
      </c>
      <c r="I170" s="165">
        <v>0</v>
      </c>
      <c r="J170" s="166">
        <f t="shared" si="2"/>
        <v>2940.94</v>
      </c>
      <c r="M170" s="52" t="s">
        <v>575</v>
      </c>
    </row>
    <row r="171" spans="2:13" ht="15" customHeight="1" x14ac:dyDescent="0.3">
      <c r="B171" s="162">
        <v>17</v>
      </c>
      <c r="E171" s="163">
        <v>9</v>
      </c>
      <c r="F171" s="164" t="s">
        <v>772</v>
      </c>
      <c r="G171" s="164" t="s">
        <v>785</v>
      </c>
      <c r="H171" s="165">
        <v>554.74</v>
      </c>
      <c r="I171" s="165">
        <v>0</v>
      </c>
      <c r="J171" s="166">
        <f t="shared" si="2"/>
        <v>554.74</v>
      </c>
      <c r="M171" s="52" t="s">
        <v>575</v>
      </c>
    </row>
    <row r="172" spans="2:13" ht="15" customHeight="1" x14ac:dyDescent="0.3">
      <c r="B172" s="162">
        <v>17</v>
      </c>
      <c r="E172" s="163">
        <v>9</v>
      </c>
      <c r="F172" s="164" t="s">
        <v>772</v>
      </c>
      <c r="G172" s="164" t="s">
        <v>1149</v>
      </c>
      <c r="H172" s="165">
        <v>310.02</v>
      </c>
      <c r="I172" s="165">
        <v>0</v>
      </c>
      <c r="J172" s="166">
        <f t="shared" si="2"/>
        <v>310.02</v>
      </c>
      <c r="M172" s="52" t="s">
        <v>575</v>
      </c>
    </row>
    <row r="173" spans="2:13" ht="15" customHeight="1" x14ac:dyDescent="0.3">
      <c r="B173" s="162">
        <v>17</v>
      </c>
      <c r="E173" s="163">
        <v>9</v>
      </c>
      <c r="F173" s="164" t="s">
        <v>772</v>
      </c>
      <c r="G173" s="164" t="s">
        <v>1149</v>
      </c>
      <c r="H173" s="165">
        <v>116.26</v>
      </c>
      <c r="I173" s="165">
        <v>0</v>
      </c>
      <c r="J173" s="166">
        <f t="shared" si="2"/>
        <v>116.26</v>
      </c>
      <c r="M173" s="52" t="s">
        <v>575</v>
      </c>
    </row>
    <row r="174" spans="2:13" ht="15" customHeight="1" x14ac:dyDescent="0.3">
      <c r="B174" s="162">
        <v>17</v>
      </c>
      <c r="E174" s="163">
        <v>9</v>
      </c>
      <c r="F174" s="164" t="s">
        <v>772</v>
      </c>
      <c r="G174" s="164" t="s">
        <v>785</v>
      </c>
      <c r="H174" s="165">
        <v>2446.2600000000002</v>
      </c>
      <c r="I174" s="165">
        <v>0</v>
      </c>
      <c r="J174" s="166">
        <f t="shared" si="2"/>
        <v>2446.2600000000002</v>
      </c>
      <c r="M174" s="52" t="s">
        <v>575</v>
      </c>
    </row>
    <row r="175" spans="2:13" ht="15" customHeight="1" x14ac:dyDescent="0.3">
      <c r="B175" s="162">
        <v>17</v>
      </c>
      <c r="E175" s="163">
        <v>9</v>
      </c>
      <c r="F175" s="164" t="s">
        <v>772</v>
      </c>
      <c r="G175" s="164" t="s">
        <v>1149</v>
      </c>
      <c r="H175" s="165">
        <v>1317.4</v>
      </c>
      <c r="I175" s="165">
        <v>0</v>
      </c>
      <c r="J175" s="166">
        <f t="shared" si="2"/>
        <v>1317.4</v>
      </c>
      <c r="M175" s="52" t="s">
        <v>575</v>
      </c>
    </row>
    <row r="176" spans="2:13" ht="15" customHeight="1" x14ac:dyDescent="0.3">
      <c r="B176" s="162">
        <v>17</v>
      </c>
      <c r="E176" s="163">
        <v>9</v>
      </c>
      <c r="F176" s="164" t="s">
        <v>1150</v>
      </c>
      <c r="G176" s="164" t="s">
        <v>1151</v>
      </c>
      <c r="H176" s="165">
        <v>494.49</v>
      </c>
      <c r="I176" s="165">
        <v>0</v>
      </c>
      <c r="J176" s="166">
        <f t="shared" si="2"/>
        <v>494.49</v>
      </c>
      <c r="M176" s="52" t="s">
        <v>575</v>
      </c>
    </row>
    <row r="177" spans="2:13" ht="15" customHeight="1" x14ac:dyDescent="0.3">
      <c r="B177" s="162">
        <v>17</v>
      </c>
      <c r="E177" s="163">
        <v>9</v>
      </c>
      <c r="F177" s="164" t="s">
        <v>1152</v>
      </c>
      <c r="G177" s="164" t="s">
        <v>1153</v>
      </c>
      <c r="H177" s="165">
        <v>154.5</v>
      </c>
      <c r="I177" s="165">
        <v>0</v>
      </c>
      <c r="J177" s="166">
        <f t="shared" si="2"/>
        <v>154.5</v>
      </c>
      <c r="M177" s="52" t="s">
        <v>575</v>
      </c>
    </row>
    <row r="178" spans="2:13" ht="15" customHeight="1" x14ac:dyDescent="0.3">
      <c r="B178" s="162">
        <v>17</v>
      </c>
      <c r="E178" s="163">
        <v>10</v>
      </c>
      <c r="F178" s="164" t="s">
        <v>1154</v>
      </c>
      <c r="G178" s="164" t="s">
        <v>1155</v>
      </c>
      <c r="H178" s="165">
        <v>8505</v>
      </c>
      <c r="I178" s="165">
        <v>0</v>
      </c>
      <c r="J178" s="166">
        <f t="shared" si="2"/>
        <v>8505</v>
      </c>
      <c r="M178" s="52">
        <v>12234</v>
      </c>
    </row>
    <row r="179" spans="2:13" ht="15" customHeight="1" x14ac:dyDescent="0.3">
      <c r="B179" s="162">
        <v>17</v>
      </c>
      <c r="E179" s="163">
        <v>10</v>
      </c>
      <c r="F179" s="164" t="s">
        <v>884</v>
      </c>
      <c r="G179" s="164" t="s">
        <v>1156</v>
      </c>
      <c r="H179" s="165">
        <v>345.97</v>
      </c>
      <c r="I179" s="165">
        <v>0</v>
      </c>
      <c r="J179" s="166">
        <f t="shared" si="2"/>
        <v>345.97</v>
      </c>
      <c r="M179" s="52">
        <v>12340</v>
      </c>
    </row>
    <row r="180" spans="2:13" ht="15" customHeight="1" x14ac:dyDescent="0.3">
      <c r="B180" s="162">
        <v>17</v>
      </c>
      <c r="E180" s="163">
        <v>10</v>
      </c>
      <c r="F180" s="164" t="s">
        <v>884</v>
      </c>
      <c r="G180" s="164" t="s">
        <v>1157</v>
      </c>
      <c r="H180" s="165">
        <v>236.2</v>
      </c>
      <c r="I180" s="165">
        <v>0</v>
      </c>
      <c r="J180" s="166">
        <f t="shared" si="2"/>
        <v>236.2</v>
      </c>
      <c r="M180" s="52">
        <v>12453</v>
      </c>
    </row>
    <row r="181" spans="2:13" ht="15" customHeight="1" x14ac:dyDescent="0.3">
      <c r="B181" s="162">
        <v>17</v>
      </c>
      <c r="E181" s="163">
        <v>10</v>
      </c>
      <c r="F181" s="164" t="s">
        <v>1158</v>
      </c>
      <c r="G181" s="164" t="s">
        <v>1159</v>
      </c>
      <c r="H181" s="165">
        <v>152.85</v>
      </c>
      <c r="I181" s="165">
        <v>0</v>
      </c>
      <c r="J181" s="166">
        <f t="shared" si="2"/>
        <v>152.85</v>
      </c>
      <c r="M181" s="52">
        <v>12458</v>
      </c>
    </row>
    <row r="182" spans="2:13" ht="15" customHeight="1" x14ac:dyDescent="0.3">
      <c r="B182" s="162">
        <v>17</v>
      </c>
      <c r="E182" s="163">
        <v>10</v>
      </c>
      <c r="F182" s="164" t="s">
        <v>884</v>
      </c>
      <c r="G182" s="164" t="s">
        <v>1160</v>
      </c>
      <c r="H182" s="165">
        <v>80.819999999999993</v>
      </c>
      <c r="I182" s="165">
        <v>0</v>
      </c>
      <c r="J182" s="166">
        <f t="shared" si="2"/>
        <v>80.819999999999993</v>
      </c>
      <c r="M182" s="52">
        <v>12485</v>
      </c>
    </row>
    <row r="183" spans="2:13" ht="15" customHeight="1" x14ac:dyDescent="0.3">
      <c r="B183" s="162">
        <v>17</v>
      </c>
      <c r="E183" s="163">
        <v>10</v>
      </c>
      <c r="F183" s="164" t="s">
        <v>884</v>
      </c>
      <c r="G183" s="164" t="s">
        <v>1161</v>
      </c>
      <c r="H183" s="165">
        <v>139</v>
      </c>
      <c r="I183" s="165">
        <v>0</v>
      </c>
      <c r="J183" s="166">
        <f t="shared" si="2"/>
        <v>139</v>
      </c>
      <c r="M183" s="52">
        <v>12486</v>
      </c>
    </row>
    <row r="184" spans="2:13" ht="15" customHeight="1" x14ac:dyDescent="0.3">
      <c r="B184" s="162">
        <v>17</v>
      </c>
      <c r="E184" s="163">
        <v>10</v>
      </c>
      <c r="F184" s="164" t="s">
        <v>884</v>
      </c>
      <c r="G184" s="164" t="s">
        <v>1162</v>
      </c>
      <c r="H184" s="165">
        <v>129.75</v>
      </c>
      <c r="I184" s="165">
        <v>0</v>
      </c>
      <c r="J184" s="166">
        <f t="shared" si="2"/>
        <v>129.75</v>
      </c>
      <c r="M184" s="52">
        <v>12488</v>
      </c>
    </row>
    <row r="185" spans="2:13" ht="15" customHeight="1" x14ac:dyDescent="0.3">
      <c r="B185" s="162">
        <v>17</v>
      </c>
      <c r="E185" s="163">
        <v>10</v>
      </c>
      <c r="F185" s="164" t="s">
        <v>884</v>
      </c>
      <c r="G185" s="164" t="s">
        <v>1163</v>
      </c>
      <c r="H185" s="165">
        <v>263.91000000000003</v>
      </c>
      <c r="I185" s="165">
        <v>0</v>
      </c>
      <c r="J185" s="166">
        <f t="shared" si="2"/>
        <v>263.91000000000003</v>
      </c>
      <c r="M185" s="52">
        <v>12501</v>
      </c>
    </row>
    <row r="186" spans="2:13" ht="15" customHeight="1" x14ac:dyDescent="0.3">
      <c r="B186" s="162">
        <v>17</v>
      </c>
      <c r="E186" s="163">
        <v>10</v>
      </c>
      <c r="F186" s="164" t="s">
        <v>1158</v>
      </c>
      <c r="G186" s="164" t="s">
        <v>1159</v>
      </c>
      <c r="H186" s="165">
        <v>297.23</v>
      </c>
      <c r="I186" s="165">
        <v>0</v>
      </c>
      <c r="J186" s="166">
        <f t="shared" si="2"/>
        <v>297.23</v>
      </c>
      <c r="M186" s="52">
        <v>12512</v>
      </c>
    </row>
    <row r="187" spans="2:13" ht="15" customHeight="1" x14ac:dyDescent="0.3">
      <c r="B187" s="162">
        <v>17</v>
      </c>
      <c r="E187" s="163">
        <v>10</v>
      </c>
      <c r="F187" s="164" t="s">
        <v>1164</v>
      </c>
      <c r="G187" s="164" t="s">
        <v>648</v>
      </c>
      <c r="H187" s="165">
        <v>184.01</v>
      </c>
      <c r="I187" s="165">
        <v>0</v>
      </c>
      <c r="J187" s="166">
        <f t="shared" si="2"/>
        <v>184.01</v>
      </c>
      <c r="M187" s="52" t="s">
        <v>575</v>
      </c>
    </row>
    <row r="188" spans="2:13" ht="15" customHeight="1" x14ac:dyDescent="0.3">
      <c r="B188" s="162">
        <v>17</v>
      </c>
      <c r="E188" s="163">
        <v>10</v>
      </c>
      <c r="F188" s="164" t="s">
        <v>1165</v>
      </c>
      <c r="G188" s="164" t="s">
        <v>648</v>
      </c>
      <c r="H188" s="165">
        <v>51.94</v>
      </c>
      <c r="I188" s="165">
        <v>0</v>
      </c>
      <c r="J188" s="166">
        <f t="shared" si="2"/>
        <v>51.94</v>
      </c>
      <c r="M188" s="52" t="s">
        <v>575</v>
      </c>
    </row>
    <row r="189" spans="2:13" ht="15" customHeight="1" x14ac:dyDescent="0.3">
      <c r="B189" s="162">
        <v>17</v>
      </c>
      <c r="E189" s="163">
        <v>10</v>
      </c>
      <c r="F189" s="164" t="s">
        <v>1166</v>
      </c>
      <c r="G189" s="164" t="s">
        <v>648</v>
      </c>
      <c r="H189" s="165">
        <v>75.760000000000005</v>
      </c>
      <c r="I189" s="165">
        <v>0</v>
      </c>
      <c r="J189" s="166">
        <f t="shared" si="2"/>
        <v>75.760000000000005</v>
      </c>
      <c r="M189" s="52" t="s">
        <v>575</v>
      </c>
    </row>
    <row r="190" spans="2:13" ht="15" customHeight="1" x14ac:dyDescent="0.3">
      <c r="B190" s="162">
        <v>17</v>
      </c>
      <c r="E190" s="163">
        <v>11</v>
      </c>
      <c r="F190" s="164" t="s">
        <v>905</v>
      </c>
      <c r="G190" s="164" t="s">
        <v>1167</v>
      </c>
      <c r="H190" s="165">
        <v>218.62</v>
      </c>
      <c r="I190" s="165">
        <v>0</v>
      </c>
      <c r="J190" s="166">
        <f t="shared" si="2"/>
        <v>218.62</v>
      </c>
      <c r="M190" s="52">
        <v>12229.000000000002</v>
      </c>
    </row>
    <row r="191" spans="2:13" ht="15" customHeight="1" x14ac:dyDescent="0.3">
      <c r="B191" s="162">
        <v>17</v>
      </c>
      <c r="E191" s="163">
        <v>11</v>
      </c>
      <c r="F191" s="164" t="s">
        <v>905</v>
      </c>
      <c r="G191" s="164" t="s">
        <v>1168</v>
      </c>
      <c r="H191" s="165">
        <v>580.22</v>
      </c>
      <c r="I191" s="165">
        <v>0</v>
      </c>
      <c r="J191" s="166">
        <f t="shared" si="2"/>
        <v>580.22</v>
      </c>
      <c r="M191" s="52">
        <v>12262</v>
      </c>
    </row>
    <row r="192" spans="2:13" ht="15" customHeight="1" x14ac:dyDescent="0.3">
      <c r="B192" s="162">
        <v>17</v>
      </c>
      <c r="E192" s="163">
        <v>11</v>
      </c>
      <c r="F192" s="164" t="s">
        <v>905</v>
      </c>
      <c r="G192" s="164" t="s">
        <v>1169</v>
      </c>
      <c r="H192" s="165">
        <v>136.78</v>
      </c>
      <c r="I192" s="165">
        <v>0</v>
      </c>
      <c r="J192" s="166">
        <f t="shared" si="2"/>
        <v>136.78</v>
      </c>
      <c r="M192" s="52">
        <v>12304</v>
      </c>
    </row>
    <row r="193" spans="2:13" ht="15" customHeight="1" x14ac:dyDescent="0.3">
      <c r="B193" s="162">
        <v>17</v>
      </c>
      <c r="E193" s="163">
        <v>11</v>
      </c>
      <c r="F193" s="164" t="s">
        <v>792</v>
      </c>
      <c r="G193" s="164" t="s">
        <v>793</v>
      </c>
      <c r="H193" s="165">
        <v>1401.25</v>
      </c>
      <c r="I193" s="165">
        <v>0</v>
      </c>
      <c r="J193" s="166">
        <f t="shared" si="2"/>
        <v>1401.25</v>
      </c>
      <c r="M193" s="52">
        <v>12332</v>
      </c>
    </row>
    <row r="194" spans="2:13" ht="15" customHeight="1" x14ac:dyDescent="0.3">
      <c r="B194" s="162">
        <v>17</v>
      </c>
      <c r="E194" s="163">
        <v>11</v>
      </c>
      <c r="F194" s="164" t="s">
        <v>905</v>
      </c>
      <c r="G194" s="164" t="s">
        <v>1170</v>
      </c>
      <c r="H194" s="165">
        <v>78.849999999999994</v>
      </c>
      <c r="I194" s="165">
        <v>0</v>
      </c>
      <c r="J194" s="166">
        <f t="shared" si="2"/>
        <v>78.849999999999994</v>
      </c>
      <c r="M194" s="52">
        <v>12355</v>
      </c>
    </row>
    <row r="195" spans="2:13" ht="15" customHeight="1" x14ac:dyDescent="0.3">
      <c r="B195" s="162">
        <v>17</v>
      </c>
      <c r="E195" s="163">
        <v>11</v>
      </c>
      <c r="F195" s="164" t="s">
        <v>905</v>
      </c>
      <c r="G195" s="164" t="s">
        <v>1171</v>
      </c>
      <c r="H195" s="165">
        <v>218.11</v>
      </c>
      <c r="I195" s="165">
        <v>0</v>
      </c>
      <c r="J195" s="166">
        <f t="shared" si="2"/>
        <v>218.11</v>
      </c>
      <c r="M195" s="52">
        <v>12357</v>
      </c>
    </row>
    <row r="196" spans="2:13" ht="15" customHeight="1" x14ac:dyDescent="0.3">
      <c r="B196" s="162">
        <v>17</v>
      </c>
      <c r="E196" s="163">
        <v>11</v>
      </c>
      <c r="F196" s="164" t="s">
        <v>792</v>
      </c>
      <c r="G196" s="164" t="s">
        <v>793</v>
      </c>
      <c r="H196" s="165">
        <v>1686.25</v>
      </c>
      <c r="I196" s="165">
        <v>0</v>
      </c>
      <c r="J196" s="166">
        <f t="shared" si="2"/>
        <v>1686.25</v>
      </c>
      <c r="M196" s="52">
        <v>12496</v>
      </c>
    </row>
    <row r="197" spans="2:13" ht="15" customHeight="1" x14ac:dyDescent="0.3">
      <c r="B197" s="162">
        <v>17</v>
      </c>
      <c r="E197" s="163">
        <v>11</v>
      </c>
      <c r="F197" s="164" t="s">
        <v>792</v>
      </c>
      <c r="G197" s="164" t="s">
        <v>793</v>
      </c>
      <c r="H197" s="165">
        <v>373.75</v>
      </c>
      <c r="I197" s="165">
        <v>0</v>
      </c>
      <c r="J197" s="166">
        <f t="shared" si="2"/>
        <v>373.75</v>
      </c>
      <c r="M197" s="52">
        <v>12497</v>
      </c>
    </row>
    <row r="198" spans="2:13" ht="15" customHeight="1" x14ac:dyDescent="0.3">
      <c r="B198" s="162">
        <v>17</v>
      </c>
      <c r="E198" s="163">
        <v>11</v>
      </c>
      <c r="F198" s="164" t="s">
        <v>792</v>
      </c>
      <c r="G198" s="164" t="s">
        <v>793</v>
      </c>
      <c r="H198" s="165">
        <v>1812.5</v>
      </c>
      <c r="I198" s="165">
        <v>0</v>
      </c>
      <c r="J198" s="166">
        <f t="shared" si="2"/>
        <v>1812.5</v>
      </c>
      <c r="M198" s="52">
        <v>12498</v>
      </c>
    </row>
    <row r="199" spans="2:13" ht="15" customHeight="1" x14ac:dyDescent="0.3">
      <c r="B199" s="162">
        <v>17</v>
      </c>
      <c r="E199" s="163">
        <v>11</v>
      </c>
      <c r="F199" s="164" t="s">
        <v>792</v>
      </c>
      <c r="G199" s="164" t="s">
        <v>793</v>
      </c>
      <c r="H199" s="165">
        <v>1812.5</v>
      </c>
      <c r="I199" s="165">
        <v>0</v>
      </c>
      <c r="J199" s="166">
        <f t="shared" si="2"/>
        <v>1812.5</v>
      </c>
      <c r="M199" s="52" t="s">
        <v>575</v>
      </c>
    </row>
    <row r="200" spans="2:13" ht="15" customHeight="1" x14ac:dyDescent="0.3">
      <c r="B200" s="162">
        <v>17</v>
      </c>
      <c r="E200" s="163">
        <v>11</v>
      </c>
      <c r="F200" s="164" t="s">
        <v>792</v>
      </c>
      <c r="G200" s="164" t="s">
        <v>793</v>
      </c>
      <c r="H200" s="165">
        <v>371.25</v>
      </c>
      <c r="I200" s="165">
        <v>0</v>
      </c>
      <c r="J200" s="166">
        <f t="shared" si="2"/>
        <v>371.25</v>
      </c>
      <c r="M200" s="52" t="s">
        <v>575</v>
      </c>
    </row>
    <row r="201" spans="2:13" ht="15" customHeight="1" x14ac:dyDescent="0.3">
      <c r="B201" s="162">
        <v>17</v>
      </c>
      <c r="E201" s="163">
        <v>11</v>
      </c>
      <c r="F201" s="164" t="s">
        <v>792</v>
      </c>
      <c r="G201" s="164" t="s">
        <v>793</v>
      </c>
      <c r="H201" s="165">
        <v>2600</v>
      </c>
      <c r="I201" s="165">
        <v>0</v>
      </c>
      <c r="J201" s="166">
        <f t="shared" si="2"/>
        <v>2600</v>
      </c>
      <c r="M201" s="52" t="s">
        <v>575</v>
      </c>
    </row>
    <row r="202" spans="2:13" ht="15" customHeight="1" x14ac:dyDescent="0.3">
      <c r="B202" s="162">
        <v>17</v>
      </c>
      <c r="E202" s="163">
        <v>11</v>
      </c>
      <c r="F202" s="164" t="s">
        <v>1172</v>
      </c>
      <c r="G202" s="164" t="s">
        <v>648</v>
      </c>
      <c r="H202" s="165">
        <v>503.35</v>
      </c>
      <c r="I202" s="165">
        <v>0</v>
      </c>
      <c r="J202" s="166">
        <f t="shared" si="2"/>
        <v>503.35</v>
      </c>
      <c r="M202" s="52" t="s">
        <v>575</v>
      </c>
    </row>
    <row r="203" spans="2:13" ht="15" customHeight="1" x14ac:dyDescent="0.3">
      <c r="B203" s="162">
        <v>17</v>
      </c>
      <c r="E203" s="163">
        <v>11</v>
      </c>
      <c r="F203" s="164" t="s">
        <v>1172</v>
      </c>
      <c r="G203" s="164" t="s">
        <v>648</v>
      </c>
      <c r="H203" s="165">
        <v>573.20000000000005</v>
      </c>
      <c r="I203" s="165">
        <v>0</v>
      </c>
      <c r="J203" s="166">
        <f t="shared" si="2"/>
        <v>573.20000000000005</v>
      </c>
      <c r="M203" s="52" t="s">
        <v>575</v>
      </c>
    </row>
    <row r="204" spans="2:13" ht="15" customHeight="1" x14ac:dyDescent="0.3">
      <c r="B204" s="162">
        <v>17</v>
      </c>
      <c r="E204" s="163">
        <v>11</v>
      </c>
      <c r="F204" s="164" t="s">
        <v>1172</v>
      </c>
      <c r="G204" s="164" t="s">
        <v>648</v>
      </c>
      <c r="H204" s="165">
        <v>515.88</v>
      </c>
      <c r="I204" s="165">
        <v>0</v>
      </c>
      <c r="J204" s="166">
        <f t="shared" si="2"/>
        <v>515.88</v>
      </c>
      <c r="M204" s="52" t="s">
        <v>575</v>
      </c>
    </row>
    <row r="205" spans="2:13" ht="15" customHeight="1" x14ac:dyDescent="0.3">
      <c r="B205" s="162">
        <v>17</v>
      </c>
      <c r="E205" s="163">
        <v>11</v>
      </c>
      <c r="F205" s="164" t="s">
        <v>1172</v>
      </c>
      <c r="G205" s="164" t="s">
        <v>648</v>
      </c>
      <c r="H205" s="165">
        <v>630.52</v>
      </c>
      <c r="I205" s="165">
        <v>0</v>
      </c>
      <c r="J205" s="166">
        <f t="shared" si="2"/>
        <v>630.52</v>
      </c>
      <c r="M205" s="52" t="s">
        <v>575</v>
      </c>
    </row>
    <row r="206" spans="2:13" ht="15" customHeight="1" x14ac:dyDescent="0.3">
      <c r="B206" s="162">
        <v>17</v>
      </c>
      <c r="E206" s="163">
        <v>11</v>
      </c>
      <c r="F206" s="164" t="s">
        <v>1173</v>
      </c>
      <c r="G206" s="164" t="s">
        <v>648</v>
      </c>
      <c r="H206" s="165">
        <v>16.23</v>
      </c>
      <c r="I206" s="165">
        <v>0</v>
      </c>
      <c r="J206" s="166">
        <f t="shared" si="2"/>
        <v>16.23</v>
      </c>
      <c r="M206" s="52" t="s">
        <v>575</v>
      </c>
    </row>
    <row r="207" spans="2:13" ht="15" customHeight="1" x14ac:dyDescent="0.3">
      <c r="B207" s="162">
        <v>17</v>
      </c>
      <c r="E207" s="163">
        <v>11</v>
      </c>
      <c r="F207" s="164" t="s">
        <v>1173</v>
      </c>
      <c r="G207" s="164" t="s">
        <v>648</v>
      </c>
      <c r="H207" s="165">
        <v>10.37</v>
      </c>
      <c r="I207" s="165">
        <v>0</v>
      </c>
      <c r="J207" s="166">
        <f t="shared" si="2"/>
        <v>10.37</v>
      </c>
      <c r="M207" s="52" t="s">
        <v>575</v>
      </c>
    </row>
    <row r="208" spans="2:13" ht="15" customHeight="1" x14ac:dyDescent="0.3">
      <c r="B208" s="162">
        <v>17</v>
      </c>
      <c r="E208" s="163">
        <v>12</v>
      </c>
      <c r="F208" s="164" t="s">
        <v>264</v>
      </c>
      <c r="G208" s="164" t="s">
        <v>1174</v>
      </c>
      <c r="H208" s="165">
        <v>1394.07</v>
      </c>
      <c r="I208" s="165">
        <v>0</v>
      </c>
      <c r="J208" s="166">
        <f t="shared" si="2"/>
        <v>1394.07</v>
      </c>
      <c r="M208" s="52">
        <v>12209.000000000002</v>
      </c>
    </row>
    <row r="209" spans="2:13" ht="15" customHeight="1" x14ac:dyDescent="0.3">
      <c r="B209" s="162">
        <v>17</v>
      </c>
      <c r="E209" s="163">
        <v>12</v>
      </c>
      <c r="F209" s="164" t="s">
        <v>264</v>
      </c>
      <c r="G209" s="164" t="s">
        <v>1175</v>
      </c>
      <c r="H209" s="165">
        <v>165.16</v>
      </c>
      <c r="I209" s="165">
        <v>0</v>
      </c>
      <c r="J209" s="166">
        <f t="shared" si="2"/>
        <v>165.16</v>
      </c>
      <c r="M209" s="52">
        <v>12213</v>
      </c>
    </row>
    <row r="210" spans="2:13" ht="15" customHeight="1" x14ac:dyDescent="0.3">
      <c r="B210" s="162">
        <v>17</v>
      </c>
      <c r="E210" s="163">
        <v>12</v>
      </c>
      <c r="F210" s="164" t="s">
        <v>264</v>
      </c>
      <c r="G210" s="164" t="s">
        <v>1176</v>
      </c>
      <c r="H210" s="165">
        <v>653.64</v>
      </c>
      <c r="I210" s="165">
        <v>0</v>
      </c>
      <c r="J210" s="166">
        <f t="shared" si="2"/>
        <v>653.64</v>
      </c>
      <c r="M210" s="52">
        <v>12215</v>
      </c>
    </row>
    <row r="211" spans="2:13" ht="15" customHeight="1" x14ac:dyDescent="0.3">
      <c r="B211" s="162">
        <v>17</v>
      </c>
      <c r="E211" s="163">
        <v>12</v>
      </c>
      <c r="F211" s="164" t="s">
        <v>264</v>
      </c>
      <c r="G211" s="164" t="s">
        <v>1177</v>
      </c>
      <c r="H211" s="165">
        <v>31.44</v>
      </c>
      <c r="I211" s="165">
        <v>0</v>
      </c>
      <c r="J211" s="166">
        <f t="shared" si="2"/>
        <v>31.44</v>
      </c>
      <c r="M211" s="52">
        <v>12249.000000000002</v>
      </c>
    </row>
    <row r="212" spans="2:13" ht="15" customHeight="1" x14ac:dyDescent="0.3">
      <c r="B212" s="162">
        <v>17</v>
      </c>
      <c r="E212" s="163">
        <v>12</v>
      </c>
      <c r="F212" s="164" t="s">
        <v>264</v>
      </c>
      <c r="G212" s="164" t="s">
        <v>1178</v>
      </c>
      <c r="H212" s="165">
        <v>302.02999999999997</v>
      </c>
      <c r="I212" s="165">
        <v>0</v>
      </c>
      <c r="J212" s="166">
        <f t="shared" si="2"/>
        <v>302.02999999999997</v>
      </c>
      <c r="M212" s="52">
        <v>12263</v>
      </c>
    </row>
    <row r="213" spans="2:13" ht="15" customHeight="1" x14ac:dyDescent="0.3">
      <c r="B213" s="162">
        <v>17</v>
      </c>
      <c r="E213" s="163">
        <v>12</v>
      </c>
      <c r="F213" s="164" t="s">
        <v>264</v>
      </c>
      <c r="G213" s="164" t="s">
        <v>1179</v>
      </c>
      <c r="H213" s="165">
        <v>35.76</v>
      </c>
      <c r="I213" s="165">
        <v>0</v>
      </c>
      <c r="J213" s="166">
        <f t="shared" si="2"/>
        <v>35.76</v>
      </c>
      <c r="M213" s="52">
        <v>12264</v>
      </c>
    </row>
    <row r="214" spans="2:13" ht="15" customHeight="1" x14ac:dyDescent="0.3">
      <c r="B214" s="162">
        <v>17</v>
      </c>
      <c r="E214" s="163">
        <v>12</v>
      </c>
      <c r="F214" s="164" t="s">
        <v>264</v>
      </c>
      <c r="G214" s="164" t="s">
        <v>1180</v>
      </c>
      <c r="H214" s="165">
        <v>25.59</v>
      </c>
      <c r="I214" s="165">
        <v>0</v>
      </c>
      <c r="J214" s="166">
        <f t="shared" ref="J214:J266" si="3">H214-I214</f>
        <v>25.59</v>
      </c>
      <c r="M214" s="52">
        <v>12267.999999999998</v>
      </c>
    </row>
    <row r="215" spans="2:13" ht="15" customHeight="1" x14ac:dyDescent="0.3">
      <c r="B215" s="162">
        <v>17</v>
      </c>
      <c r="E215" s="163">
        <v>12</v>
      </c>
      <c r="F215" s="164" t="s">
        <v>456</v>
      </c>
      <c r="G215" s="164" t="s">
        <v>1181</v>
      </c>
      <c r="H215" s="165">
        <v>663.73</v>
      </c>
      <c r="I215" s="165">
        <v>0</v>
      </c>
      <c r="J215" s="166">
        <f t="shared" si="3"/>
        <v>663.73</v>
      </c>
      <c r="M215" s="52">
        <v>12287.999999999998</v>
      </c>
    </row>
    <row r="216" spans="2:13" ht="15" customHeight="1" x14ac:dyDescent="0.3">
      <c r="B216" s="162">
        <v>17</v>
      </c>
      <c r="E216" s="163">
        <v>12</v>
      </c>
      <c r="F216" s="164" t="s">
        <v>456</v>
      </c>
      <c r="G216" s="164" t="s">
        <v>1042</v>
      </c>
      <c r="H216" s="165">
        <v>-602.96</v>
      </c>
      <c r="I216" s="165">
        <v>0</v>
      </c>
      <c r="J216" s="166">
        <f t="shared" si="3"/>
        <v>-602.96</v>
      </c>
      <c r="M216" s="52">
        <v>12287.999999999998</v>
      </c>
    </row>
    <row r="217" spans="2:13" ht="15" customHeight="1" x14ac:dyDescent="0.3">
      <c r="B217" s="162">
        <v>17</v>
      </c>
      <c r="E217" s="163">
        <v>12</v>
      </c>
      <c r="F217" s="164" t="s">
        <v>264</v>
      </c>
      <c r="G217" s="164" t="s">
        <v>1182</v>
      </c>
      <c r="H217" s="165">
        <v>621.97</v>
      </c>
      <c r="I217" s="165">
        <v>0</v>
      </c>
      <c r="J217" s="166">
        <f t="shared" si="3"/>
        <v>621.97</v>
      </c>
      <c r="M217" s="52">
        <v>12293</v>
      </c>
    </row>
    <row r="218" spans="2:13" ht="15" customHeight="1" x14ac:dyDescent="0.3">
      <c r="B218" s="162">
        <v>17</v>
      </c>
      <c r="E218" s="163">
        <v>12</v>
      </c>
      <c r="F218" s="164" t="s">
        <v>264</v>
      </c>
      <c r="G218" s="164" t="s">
        <v>1183</v>
      </c>
      <c r="H218" s="165">
        <v>526.12</v>
      </c>
      <c r="I218" s="165">
        <v>0</v>
      </c>
      <c r="J218" s="166">
        <f t="shared" si="3"/>
        <v>526.12</v>
      </c>
      <c r="M218" s="52">
        <v>12299</v>
      </c>
    </row>
    <row r="219" spans="2:13" ht="15" customHeight="1" x14ac:dyDescent="0.3">
      <c r="B219" s="162">
        <v>17</v>
      </c>
      <c r="E219" s="163">
        <v>12</v>
      </c>
      <c r="F219" s="164" t="s">
        <v>264</v>
      </c>
      <c r="G219" s="164" t="s">
        <v>1184</v>
      </c>
      <c r="H219" s="165">
        <v>188.23</v>
      </c>
      <c r="I219" s="165">
        <v>0</v>
      </c>
      <c r="J219" s="166">
        <f t="shared" si="3"/>
        <v>188.23</v>
      </c>
      <c r="M219" s="52">
        <v>12305</v>
      </c>
    </row>
    <row r="220" spans="2:13" ht="15" customHeight="1" x14ac:dyDescent="0.3">
      <c r="B220" s="162">
        <v>17</v>
      </c>
      <c r="E220" s="163">
        <v>12</v>
      </c>
      <c r="F220" s="164" t="s">
        <v>264</v>
      </c>
      <c r="G220" s="164" t="s">
        <v>1185</v>
      </c>
      <c r="H220" s="165">
        <v>241.9</v>
      </c>
      <c r="I220" s="165">
        <v>0</v>
      </c>
      <c r="J220" s="166">
        <f t="shared" si="3"/>
        <v>241.9</v>
      </c>
      <c r="M220" s="52">
        <v>12338</v>
      </c>
    </row>
    <row r="221" spans="2:13" ht="15" customHeight="1" x14ac:dyDescent="0.3">
      <c r="B221" s="162">
        <v>17</v>
      </c>
      <c r="E221" s="163">
        <v>12</v>
      </c>
      <c r="F221" s="164" t="s">
        <v>264</v>
      </c>
      <c r="G221" s="164" t="s">
        <v>525</v>
      </c>
      <c r="H221" s="165">
        <v>36.53</v>
      </c>
      <c r="I221" s="165">
        <v>0</v>
      </c>
      <c r="J221" s="166">
        <f t="shared" si="3"/>
        <v>36.53</v>
      </c>
      <c r="M221" s="52">
        <v>12346.999999999998</v>
      </c>
    </row>
    <row r="222" spans="2:13" ht="15" customHeight="1" x14ac:dyDescent="0.3">
      <c r="B222" s="162">
        <v>17</v>
      </c>
      <c r="E222" s="163">
        <v>12</v>
      </c>
      <c r="F222" s="164" t="s">
        <v>1186</v>
      </c>
      <c r="G222" s="164" t="s">
        <v>1187</v>
      </c>
      <c r="H222" s="165">
        <v>1159.58</v>
      </c>
      <c r="I222" s="165">
        <v>0</v>
      </c>
      <c r="J222" s="166">
        <f t="shared" si="3"/>
        <v>1159.58</v>
      </c>
      <c r="M222" s="52">
        <v>12403</v>
      </c>
    </row>
    <row r="223" spans="2:13" ht="15" customHeight="1" x14ac:dyDescent="0.3">
      <c r="B223" s="162">
        <v>17</v>
      </c>
      <c r="E223" s="163">
        <v>12</v>
      </c>
      <c r="F223" s="164" t="s">
        <v>264</v>
      </c>
      <c r="G223" s="164" t="s">
        <v>1188</v>
      </c>
      <c r="H223" s="165">
        <v>73.459999999999994</v>
      </c>
      <c r="I223" s="165">
        <v>0</v>
      </c>
      <c r="J223" s="166">
        <f t="shared" si="3"/>
        <v>73.459999999999994</v>
      </c>
      <c r="M223" s="52">
        <v>12464</v>
      </c>
    </row>
    <row r="224" spans="2:13" ht="15" customHeight="1" x14ac:dyDescent="0.3">
      <c r="B224" s="162">
        <v>17</v>
      </c>
      <c r="E224" s="163">
        <v>12</v>
      </c>
      <c r="F224" s="164" t="s">
        <v>264</v>
      </c>
      <c r="G224" s="164" t="s">
        <v>1189</v>
      </c>
      <c r="H224" s="165">
        <v>68.11</v>
      </c>
      <c r="I224" s="165">
        <v>0</v>
      </c>
      <c r="J224" s="166">
        <f t="shared" si="3"/>
        <v>68.11</v>
      </c>
      <c r="M224" s="52">
        <v>12466</v>
      </c>
    </row>
    <row r="225" spans="2:13" ht="15" customHeight="1" x14ac:dyDescent="0.3">
      <c r="B225" s="162">
        <v>17</v>
      </c>
      <c r="E225" s="163">
        <v>12</v>
      </c>
      <c r="F225" s="164" t="s">
        <v>567</v>
      </c>
      <c r="G225" s="164" t="s">
        <v>1190</v>
      </c>
      <c r="H225" s="165">
        <v>39440</v>
      </c>
      <c r="I225" s="165">
        <v>3944</v>
      </c>
      <c r="J225" s="166">
        <f t="shared" si="3"/>
        <v>35496</v>
      </c>
      <c r="M225" s="52">
        <v>12477</v>
      </c>
    </row>
    <row r="226" spans="2:13" ht="15" customHeight="1" x14ac:dyDescent="0.3">
      <c r="B226" s="162">
        <v>17</v>
      </c>
      <c r="E226" s="163">
        <v>12</v>
      </c>
      <c r="F226" s="164" t="s">
        <v>657</v>
      </c>
      <c r="G226" s="164" t="s">
        <v>1191</v>
      </c>
      <c r="H226" s="165">
        <v>2000</v>
      </c>
      <c r="I226" s="165">
        <v>0</v>
      </c>
      <c r="J226" s="166">
        <f t="shared" si="3"/>
        <v>2000</v>
      </c>
      <c r="M226" s="52">
        <v>12481</v>
      </c>
    </row>
    <row r="227" spans="2:13" ht="15" customHeight="1" x14ac:dyDescent="0.3">
      <c r="B227" s="162">
        <v>17</v>
      </c>
      <c r="E227" s="163">
        <v>12</v>
      </c>
      <c r="F227" s="164" t="s">
        <v>264</v>
      </c>
      <c r="G227" s="164" t="s">
        <v>1192</v>
      </c>
      <c r="H227" s="165">
        <v>156.16999999999999</v>
      </c>
      <c r="I227" s="165">
        <v>0</v>
      </c>
      <c r="J227" s="166">
        <f t="shared" si="3"/>
        <v>156.16999999999999</v>
      </c>
      <c r="M227" s="52">
        <v>12499</v>
      </c>
    </row>
    <row r="228" spans="2:13" ht="15" customHeight="1" x14ac:dyDescent="0.3">
      <c r="B228" s="162">
        <v>17</v>
      </c>
      <c r="E228" s="163">
        <v>12</v>
      </c>
      <c r="F228" s="164" t="s">
        <v>1193</v>
      </c>
      <c r="G228" s="164" t="s">
        <v>272</v>
      </c>
      <c r="H228" s="165">
        <v>552.95000000000005</v>
      </c>
      <c r="I228" s="165">
        <v>0</v>
      </c>
      <c r="J228" s="166">
        <f t="shared" si="3"/>
        <v>552.95000000000005</v>
      </c>
      <c r="M228" s="52">
        <v>12510</v>
      </c>
    </row>
    <row r="229" spans="2:13" ht="15" customHeight="1" x14ac:dyDescent="0.3">
      <c r="B229" s="162">
        <v>17</v>
      </c>
      <c r="E229" s="163">
        <v>12</v>
      </c>
      <c r="F229" s="164" t="s">
        <v>264</v>
      </c>
      <c r="G229" s="164" t="s">
        <v>1191</v>
      </c>
      <c r="H229" s="165">
        <v>1900</v>
      </c>
      <c r="I229" s="165">
        <v>0</v>
      </c>
      <c r="J229" s="166">
        <f t="shared" si="3"/>
        <v>1900</v>
      </c>
      <c r="M229" s="52" t="s">
        <v>575</v>
      </c>
    </row>
    <row r="230" spans="2:13" ht="15" customHeight="1" x14ac:dyDescent="0.3">
      <c r="B230" s="162">
        <v>17</v>
      </c>
      <c r="E230" s="163">
        <v>12</v>
      </c>
      <c r="F230" s="164" t="s">
        <v>264</v>
      </c>
      <c r="G230" s="164" t="s">
        <v>560</v>
      </c>
      <c r="H230" s="165">
        <v>376.38</v>
      </c>
      <c r="I230" s="165">
        <v>0</v>
      </c>
      <c r="J230" s="166">
        <f t="shared" si="3"/>
        <v>376.38</v>
      </c>
      <c r="M230" s="52" t="s">
        <v>575</v>
      </c>
    </row>
    <row r="231" spans="2:13" ht="15" customHeight="1" x14ac:dyDescent="0.3">
      <c r="B231" s="162">
        <v>17</v>
      </c>
      <c r="E231" s="163">
        <v>12</v>
      </c>
      <c r="F231" s="164" t="s">
        <v>209</v>
      </c>
      <c r="G231" s="164" t="s">
        <v>922</v>
      </c>
      <c r="H231" s="165">
        <v>170.23</v>
      </c>
      <c r="I231" s="165">
        <v>0</v>
      </c>
      <c r="J231" s="166">
        <f t="shared" si="3"/>
        <v>170.23</v>
      </c>
      <c r="M231" s="52" t="s">
        <v>575</v>
      </c>
    </row>
    <row r="232" spans="2:13" ht="15" customHeight="1" x14ac:dyDescent="0.3">
      <c r="B232" s="162">
        <v>17</v>
      </c>
      <c r="E232" s="163">
        <v>12</v>
      </c>
      <c r="F232" s="164" t="s">
        <v>1194</v>
      </c>
      <c r="G232" s="164" t="s">
        <v>272</v>
      </c>
      <c r="H232" s="165">
        <v>290.39</v>
      </c>
      <c r="I232" s="165">
        <v>0</v>
      </c>
      <c r="J232" s="166">
        <f t="shared" si="3"/>
        <v>290.39</v>
      </c>
      <c r="M232" s="52" t="s">
        <v>575</v>
      </c>
    </row>
    <row r="233" spans="2:13" ht="15" customHeight="1" x14ac:dyDescent="0.3">
      <c r="B233" s="162">
        <v>17</v>
      </c>
      <c r="E233" s="163">
        <v>12</v>
      </c>
      <c r="F233" s="164" t="s">
        <v>1194</v>
      </c>
      <c r="G233" s="164" t="s">
        <v>272</v>
      </c>
      <c r="H233" s="165">
        <v>187.58</v>
      </c>
      <c r="I233" s="165">
        <v>0</v>
      </c>
      <c r="J233" s="166">
        <f t="shared" si="3"/>
        <v>187.58</v>
      </c>
      <c r="M233" s="52" t="s">
        <v>575</v>
      </c>
    </row>
    <row r="234" spans="2:13" ht="15" customHeight="1" x14ac:dyDescent="0.3">
      <c r="B234" s="162">
        <v>17</v>
      </c>
      <c r="E234" s="163">
        <v>12</v>
      </c>
      <c r="F234" s="164" t="s">
        <v>1194</v>
      </c>
      <c r="G234" s="164" t="s">
        <v>272</v>
      </c>
      <c r="H234" s="165">
        <v>144.71</v>
      </c>
      <c r="I234" s="165">
        <v>0</v>
      </c>
      <c r="J234" s="166">
        <f t="shared" si="3"/>
        <v>144.71</v>
      </c>
      <c r="M234" s="52" t="s">
        <v>575</v>
      </c>
    </row>
    <row r="235" spans="2:13" ht="15" customHeight="1" x14ac:dyDescent="0.3">
      <c r="B235" s="162">
        <v>17</v>
      </c>
      <c r="E235" s="163">
        <v>12</v>
      </c>
      <c r="F235" s="164" t="s">
        <v>264</v>
      </c>
      <c r="G235" s="164" t="s">
        <v>1195</v>
      </c>
      <c r="H235" s="165">
        <v>-3332.89</v>
      </c>
      <c r="I235" s="165">
        <v>0</v>
      </c>
      <c r="J235" s="166">
        <f t="shared" si="3"/>
        <v>-3332.89</v>
      </c>
      <c r="M235" s="52" t="s">
        <v>575</v>
      </c>
    </row>
    <row r="236" spans="2:13" ht="15" customHeight="1" x14ac:dyDescent="0.3">
      <c r="B236" s="162">
        <v>17</v>
      </c>
      <c r="E236" s="163">
        <v>12</v>
      </c>
      <c r="F236" s="164" t="s">
        <v>1194</v>
      </c>
      <c r="G236" s="164" t="s">
        <v>272</v>
      </c>
      <c r="H236" s="165">
        <v>421.2</v>
      </c>
      <c r="I236" s="165">
        <v>0</v>
      </c>
      <c r="J236" s="166">
        <f t="shared" si="3"/>
        <v>421.2</v>
      </c>
      <c r="M236" s="52" t="s">
        <v>575</v>
      </c>
    </row>
    <row r="237" spans="2:13" ht="15" customHeight="1" x14ac:dyDescent="0.3">
      <c r="B237" s="162">
        <v>17</v>
      </c>
      <c r="E237" s="163">
        <v>12</v>
      </c>
      <c r="F237" s="164" t="s">
        <v>1194</v>
      </c>
      <c r="G237" s="164" t="s">
        <v>272</v>
      </c>
      <c r="H237" s="165">
        <v>16.79</v>
      </c>
      <c r="I237" s="165">
        <v>0</v>
      </c>
      <c r="J237" s="166">
        <f t="shared" si="3"/>
        <v>16.79</v>
      </c>
      <c r="M237" s="52" t="s">
        <v>575</v>
      </c>
    </row>
    <row r="238" spans="2:13" ht="15" customHeight="1" x14ac:dyDescent="0.3">
      <c r="B238" s="162">
        <v>17</v>
      </c>
      <c r="E238" s="163">
        <v>12</v>
      </c>
      <c r="F238" s="164" t="s">
        <v>1196</v>
      </c>
      <c r="G238" s="164" t="s">
        <v>648</v>
      </c>
      <c r="H238" s="165">
        <v>235.76</v>
      </c>
      <c r="I238" s="165">
        <v>0</v>
      </c>
      <c r="J238" s="166">
        <f t="shared" si="3"/>
        <v>235.76</v>
      </c>
      <c r="M238" s="52" t="s">
        <v>575</v>
      </c>
    </row>
    <row r="239" spans="2:13" ht="15" customHeight="1" x14ac:dyDescent="0.3">
      <c r="B239" s="162">
        <v>17</v>
      </c>
      <c r="E239" s="163">
        <v>12</v>
      </c>
      <c r="F239" s="164" t="s">
        <v>1197</v>
      </c>
      <c r="G239" s="164" t="s">
        <v>648</v>
      </c>
      <c r="H239" s="165">
        <v>71.94</v>
      </c>
      <c r="I239" s="165">
        <v>0</v>
      </c>
      <c r="J239" s="166">
        <f t="shared" si="3"/>
        <v>71.94</v>
      </c>
      <c r="M239" s="52" t="s">
        <v>575</v>
      </c>
    </row>
    <row r="240" spans="2:13" ht="15" customHeight="1" x14ac:dyDescent="0.3">
      <c r="B240" s="162">
        <v>17</v>
      </c>
      <c r="E240" s="163">
        <v>12</v>
      </c>
      <c r="F240" s="164" t="s">
        <v>515</v>
      </c>
      <c r="G240" s="164" t="s">
        <v>648</v>
      </c>
      <c r="H240" s="165">
        <v>67.64</v>
      </c>
      <c r="I240" s="165">
        <v>0</v>
      </c>
      <c r="J240" s="166">
        <f t="shared" si="3"/>
        <v>67.64</v>
      </c>
      <c r="M240" s="52" t="s">
        <v>575</v>
      </c>
    </row>
    <row r="241" spans="2:13" ht="15" customHeight="1" x14ac:dyDescent="0.3">
      <c r="B241" s="162">
        <v>17</v>
      </c>
      <c r="E241" s="163">
        <v>12</v>
      </c>
      <c r="F241" s="164" t="s">
        <v>515</v>
      </c>
      <c r="G241" s="164" t="s">
        <v>648</v>
      </c>
      <c r="H241" s="165">
        <v>18.39</v>
      </c>
      <c r="I241" s="165">
        <v>0</v>
      </c>
      <c r="J241" s="166">
        <f t="shared" si="3"/>
        <v>18.39</v>
      </c>
      <c r="M241" s="52" t="s">
        <v>575</v>
      </c>
    </row>
    <row r="242" spans="2:13" ht="15" customHeight="1" x14ac:dyDescent="0.3">
      <c r="B242" s="162">
        <v>17</v>
      </c>
      <c r="E242" s="163">
        <v>12</v>
      </c>
      <c r="F242" s="164" t="s">
        <v>1197</v>
      </c>
      <c r="G242" s="164" t="s">
        <v>648</v>
      </c>
      <c r="H242" s="165">
        <v>497</v>
      </c>
      <c r="I242" s="165">
        <v>0</v>
      </c>
      <c r="J242" s="166">
        <f t="shared" si="3"/>
        <v>497</v>
      </c>
      <c r="M242" s="52" t="s">
        <v>575</v>
      </c>
    </row>
    <row r="243" spans="2:13" ht="15" customHeight="1" x14ac:dyDescent="0.3">
      <c r="B243" s="162">
        <v>17</v>
      </c>
      <c r="E243" s="163">
        <v>12</v>
      </c>
      <c r="F243" s="164" t="s">
        <v>1198</v>
      </c>
      <c r="G243" s="164"/>
      <c r="H243" s="165">
        <v>1488.12</v>
      </c>
      <c r="I243" s="165">
        <v>0</v>
      </c>
      <c r="J243" s="166">
        <f t="shared" si="3"/>
        <v>1488.12</v>
      </c>
      <c r="M243" s="52" t="s">
        <v>575</v>
      </c>
    </row>
    <row r="244" spans="2:13" ht="15" customHeight="1" x14ac:dyDescent="0.3">
      <c r="B244" s="162">
        <v>17</v>
      </c>
      <c r="E244" s="163">
        <v>12</v>
      </c>
      <c r="F244" s="164" t="s">
        <v>1199</v>
      </c>
      <c r="G244" s="164" t="s">
        <v>1200</v>
      </c>
      <c r="H244" s="165">
        <v>1110.82</v>
      </c>
      <c r="I244" s="165">
        <v>0</v>
      </c>
      <c r="J244" s="166">
        <f t="shared" si="3"/>
        <v>1110.82</v>
      </c>
      <c r="M244" s="52" t="s">
        <v>575</v>
      </c>
    </row>
    <row r="245" spans="2:13" ht="15" customHeight="1" x14ac:dyDescent="0.3">
      <c r="B245" s="162">
        <v>17</v>
      </c>
      <c r="E245" s="163">
        <v>12</v>
      </c>
      <c r="F245" s="164" t="s">
        <v>1199</v>
      </c>
      <c r="G245" s="164" t="s">
        <v>1200</v>
      </c>
      <c r="H245" s="165">
        <v>714.43</v>
      </c>
      <c r="I245" s="165">
        <v>0</v>
      </c>
      <c r="J245" s="166">
        <f t="shared" si="3"/>
        <v>714.43</v>
      </c>
      <c r="M245" s="52" t="s">
        <v>575</v>
      </c>
    </row>
    <row r="246" spans="2:13" ht="15" customHeight="1" x14ac:dyDescent="0.3">
      <c r="B246" s="162">
        <v>17</v>
      </c>
      <c r="E246" s="163">
        <v>12</v>
      </c>
      <c r="F246" s="164" t="s">
        <v>1201</v>
      </c>
      <c r="G246" s="164" t="s">
        <v>648</v>
      </c>
      <c r="H246" s="165">
        <v>865.75</v>
      </c>
      <c r="I246" s="165">
        <v>0</v>
      </c>
      <c r="J246" s="166">
        <f t="shared" si="3"/>
        <v>865.75</v>
      </c>
      <c r="M246" s="52" t="s">
        <v>575</v>
      </c>
    </row>
    <row r="247" spans="2:13" ht="15" customHeight="1" x14ac:dyDescent="0.3">
      <c r="B247" s="162">
        <v>17</v>
      </c>
      <c r="E247" s="163">
        <v>12</v>
      </c>
      <c r="F247" s="164" t="s">
        <v>1202</v>
      </c>
      <c r="G247" s="164"/>
      <c r="H247" s="165">
        <v>257.20999999999998</v>
      </c>
      <c r="I247" s="165">
        <v>0</v>
      </c>
      <c r="J247" s="166">
        <f t="shared" si="3"/>
        <v>257.20999999999998</v>
      </c>
      <c r="M247" s="52" t="s">
        <v>575</v>
      </c>
    </row>
    <row r="248" spans="2:13" ht="15" customHeight="1" x14ac:dyDescent="0.3">
      <c r="B248" s="162">
        <v>17</v>
      </c>
      <c r="E248" s="163">
        <v>16</v>
      </c>
      <c r="F248" s="164" t="s">
        <v>275</v>
      </c>
      <c r="G248" s="164" t="s">
        <v>1203</v>
      </c>
      <c r="H248" s="165">
        <v>268.23</v>
      </c>
      <c r="I248" s="165">
        <v>0</v>
      </c>
      <c r="J248" s="166">
        <f t="shared" si="3"/>
        <v>268.23</v>
      </c>
      <c r="M248" s="52">
        <v>12205.999999999998</v>
      </c>
    </row>
    <row r="249" spans="2:13" ht="15" customHeight="1" x14ac:dyDescent="0.3">
      <c r="B249" s="162">
        <v>17</v>
      </c>
      <c r="E249" s="163">
        <v>16</v>
      </c>
      <c r="F249" s="164" t="s">
        <v>275</v>
      </c>
      <c r="G249" s="164" t="s">
        <v>1204</v>
      </c>
      <c r="H249" s="165">
        <v>127.03</v>
      </c>
      <c r="I249" s="165">
        <v>0</v>
      </c>
      <c r="J249" s="166">
        <f t="shared" si="3"/>
        <v>127.03</v>
      </c>
      <c r="M249" s="52">
        <v>12208.000000000002</v>
      </c>
    </row>
    <row r="250" spans="2:13" ht="15" customHeight="1" x14ac:dyDescent="0.3">
      <c r="B250" s="162">
        <v>17</v>
      </c>
      <c r="E250" s="163">
        <v>16</v>
      </c>
      <c r="F250" s="164" t="s">
        <v>275</v>
      </c>
      <c r="G250" s="164" t="s">
        <v>1205</v>
      </c>
      <c r="H250" s="165">
        <v>21.4</v>
      </c>
      <c r="I250" s="165">
        <v>0</v>
      </c>
      <c r="J250" s="166">
        <f t="shared" si="3"/>
        <v>21.4</v>
      </c>
      <c r="M250" s="52">
        <v>12217</v>
      </c>
    </row>
    <row r="251" spans="2:13" ht="15" customHeight="1" x14ac:dyDescent="0.3">
      <c r="B251" s="162">
        <v>17</v>
      </c>
      <c r="E251" s="163">
        <v>16</v>
      </c>
      <c r="F251" s="164" t="s">
        <v>275</v>
      </c>
      <c r="G251" s="164" t="s">
        <v>1206</v>
      </c>
      <c r="H251" s="165">
        <v>277.02</v>
      </c>
      <c r="I251" s="165">
        <v>0</v>
      </c>
      <c r="J251" s="166">
        <f t="shared" si="3"/>
        <v>277.02</v>
      </c>
      <c r="M251" s="52">
        <v>12239</v>
      </c>
    </row>
    <row r="252" spans="2:13" ht="15" customHeight="1" x14ac:dyDescent="0.3">
      <c r="B252" s="162">
        <v>17</v>
      </c>
      <c r="E252" s="163">
        <v>16</v>
      </c>
      <c r="F252" s="164" t="s">
        <v>275</v>
      </c>
      <c r="G252" s="164" t="s">
        <v>1207</v>
      </c>
      <c r="H252" s="165">
        <v>125.05</v>
      </c>
      <c r="I252" s="165">
        <v>0</v>
      </c>
      <c r="J252" s="166">
        <f t="shared" si="3"/>
        <v>125.05</v>
      </c>
      <c r="M252" s="52">
        <v>12240</v>
      </c>
    </row>
    <row r="253" spans="2:13" ht="15" customHeight="1" x14ac:dyDescent="0.3">
      <c r="B253" s="162">
        <v>17</v>
      </c>
      <c r="E253" s="163">
        <v>16</v>
      </c>
      <c r="F253" s="164" t="s">
        <v>275</v>
      </c>
      <c r="G253" s="164" t="s">
        <v>1208</v>
      </c>
      <c r="H253" s="165">
        <v>129.58000000000001</v>
      </c>
      <c r="I253" s="165">
        <v>0</v>
      </c>
      <c r="J253" s="166">
        <f t="shared" si="3"/>
        <v>129.58000000000001</v>
      </c>
      <c r="M253" s="52">
        <v>12245</v>
      </c>
    </row>
    <row r="254" spans="2:13" ht="15" customHeight="1" x14ac:dyDescent="0.3">
      <c r="B254" s="162">
        <v>17</v>
      </c>
      <c r="E254" s="163">
        <v>16</v>
      </c>
      <c r="F254" s="164" t="s">
        <v>275</v>
      </c>
      <c r="G254" s="164" t="s">
        <v>1209</v>
      </c>
      <c r="H254" s="165">
        <v>136.84</v>
      </c>
      <c r="I254" s="165">
        <v>0</v>
      </c>
      <c r="J254" s="166">
        <f t="shared" si="3"/>
        <v>136.84</v>
      </c>
      <c r="M254" s="52">
        <v>12251</v>
      </c>
    </row>
    <row r="255" spans="2:13" ht="15" customHeight="1" x14ac:dyDescent="0.3">
      <c r="B255" s="162">
        <v>17</v>
      </c>
      <c r="E255" s="163">
        <v>16</v>
      </c>
      <c r="F255" s="164" t="s">
        <v>275</v>
      </c>
      <c r="G255" s="164" t="s">
        <v>1210</v>
      </c>
      <c r="H255" s="165">
        <v>581.04</v>
      </c>
      <c r="I255" s="165">
        <v>0</v>
      </c>
      <c r="J255" s="166">
        <f t="shared" si="3"/>
        <v>581.04</v>
      </c>
      <c r="M255" s="52">
        <v>12254</v>
      </c>
    </row>
    <row r="256" spans="2:13" ht="15" customHeight="1" x14ac:dyDescent="0.3">
      <c r="B256" s="162">
        <v>17</v>
      </c>
      <c r="E256" s="163">
        <v>16</v>
      </c>
      <c r="F256" s="164" t="s">
        <v>275</v>
      </c>
      <c r="G256" s="164" t="s">
        <v>1211</v>
      </c>
      <c r="H256" s="165">
        <v>921.87</v>
      </c>
      <c r="I256" s="165">
        <v>0</v>
      </c>
      <c r="J256" s="166">
        <f t="shared" si="3"/>
        <v>921.87</v>
      </c>
      <c r="M256" s="52">
        <v>12266.999999999998</v>
      </c>
    </row>
    <row r="257" spans="2:13" ht="15" customHeight="1" x14ac:dyDescent="0.3">
      <c r="B257" s="162">
        <v>17</v>
      </c>
      <c r="E257" s="163">
        <v>16</v>
      </c>
      <c r="F257" s="164" t="s">
        <v>275</v>
      </c>
      <c r="G257" s="164" t="s">
        <v>1212</v>
      </c>
      <c r="H257" s="165">
        <v>1472.15</v>
      </c>
      <c r="I257" s="165">
        <v>0</v>
      </c>
      <c r="J257" s="166">
        <f t="shared" si="3"/>
        <v>1472.15</v>
      </c>
      <c r="M257" s="52">
        <v>12323</v>
      </c>
    </row>
    <row r="258" spans="2:13" ht="15" customHeight="1" x14ac:dyDescent="0.3">
      <c r="B258" s="162">
        <v>17</v>
      </c>
      <c r="E258" s="163">
        <v>16</v>
      </c>
      <c r="F258" s="164" t="s">
        <v>275</v>
      </c>
      <c r="G258" s="164" t="s">
        <v>1213</v>
      </c>
      <c r="H258" s="165">
        <v>747.74</v>
      </c>
      <c r="I258" s="165">
        <v>0</v>
      </c>
      <c r="J258" s="166">
        <f t="shared" si="3"/>
        <v>747.74</v>
      </c>
      <c r="M258" s="52">
        <v>12326</v>
      </c>
    </row>
    <row r="259" spans="2:13" ht="15" customHeight="1" x14ac:dyDescent="0.3">
      <c r="B259" s="162">
        <v>17</v>
      </c>
      <c r="E259" s="163">
        <v>16</v>
      </c>
      <c r="F259" s="164" t="s">
        <v>275</v>
      </c>
      <c r="G259" s="164" t="s">
        <v>1214</v>
      </c>
      <c r="H259" s="165">
        <v>49.13</v>
      </c>
      <c r="I259" s="165">
        <v>0</v>
      </c>
      <c r="J259" s="166">
        <f t="shared" si="3"/>
        <v>49.13</v>
      </c>
      <c r="M259" s="52">
        <v>12326.999999999998</v>
      </c>
    </row>
    <row r="260" spans="2:13" ht="15" customHeight="1" x14ac:dyDescent="0.3">
      <c r="B260" s="162">
        <v>17</v>
      </c>
      <c r="E260" s="163">
        <v>16</v>
      </c>
      <c r="F260" s="164" t="s">
        <v>275</v>
      </c>
      <c r="G260" s="164" t="s">
        <v>1215</v>
      </c>
      <c r="H260" s="165">
        <v>466.91</v>
      </c>
      <c r="I260" s="165">
        <v>0</v>
      </c>
      <c r="J260" s="166">
        <f t="shared" si="3"/>
        <v>466.91</v>
      </c>
      <c r="M260" s="52">
        <v>12330.000000000002</v>
      </c>
    </row>
    <row r="261" spans="2:13" ht="15" customHeight="1" x14ac:dyDescent="0.3">
      <c r="B261" s="162">
        <v>17</v>
      </c>
      <c r="E261" s="163">
        <v>16</v>
      </c>
      <c r="F261" s="164" t="s">
        <v>275</v>
      </c>
      <c r="G261" s="164" t="s">
        <v>1216</v>
      </c>
      <c r="H261" s="165">
        <v>95.94</v>
      </c>
      <c r="I261" s="165">
        <v>0</v>
      </c>
      <c r="J261" s="166">
        <f t="shared" si="3"/>
        <v>95.94</v>
      </c>
      <c r="M261" s="52">
        <v>12331</v>
      </c>
    </row>
    <row r="262" spans="2:13" ht="15" customHeight="1" x14ac:dyDescent="0.3">
      <c r="B262" s="162">
        <v>17</v>
      </c>
      <c r="E262" s="163">
        <v>16</v>
      </c>
      <c r="F262" s="164" t="s">
        <v>275</v>
      </c>
      <c r="G262" s="164" t="s">
        <v>1217</v>
      </c>
      <c r="H262" s="165">
        <v>352.99</v>
      </c>
      <c r="I262" s="165">
        <v>0</v>
      </c>
      <c r="J262" s="166">
        <f t="shared" si="3"/>
        <v>352.99</v>
      </c>
      <c r="M262" s="52">
        <v>12454</v>
      </c>
    </row>
    <row r="263" spans="2:13" ht="15" customHeight="1" x14ac:dyDescent="0.3">
      <c r="B263" s="162">
        <v>17</v>
      </c>
      <c r="E263" s="163">
        <v>16</v>
      </c>
      <c r="F263" s="164" t="s">
        <v>275</v>
      </c>
      <c r="G263" s="164" t="s">
        <v>1218</v>
      </c>
      <c r="H263" s="165">
        <v>83.29</v>
      </c>
      <c r="I263" s="165">
        <v>0</v>
      </c>
      <c r="J263" s="166">
        <f t="shared" si="3"/>
        <v>83.29</v>
      </c>
      <c r="M263" s="52">
        <v>12489</v>
      </c>
    </row>
    <row r="264" spans="2:13" ht="15" customHeight="1" x14ac:dyDescent="0.3">
      <c r="B264" s="162">
        <v>17</v>
      </c>
      <c r="E264" s="163">
        <v>16</v>
      </c>
      <c r="F264" s="164" t="s">
        <v>1219</v>
      </c>
      <c r="G264" s="164" t="s">
        <v>648</v>
      </c>
      <c r="H264" s="165">
        <v>265.26</v>
      </c>
      <c r="I264" s="165">
        <v>0</v>
      </c>
      <c r="J264" s="166">
        <f t="shared" si="3"/>
        <v>265.26</v>
      </c>
      <c r="M264" s="52" t="s">
        <v>575</v>
      </c>
    </row>
    <row r="265" spans="2:13" ht="15" customHeight="1" x14ac:dyDescent="0.3">
      <c r="B265" s="162">
        <v>17</v>
      </c>
      <c r="E265" s="163">
        <v>16</v>
      </c>
      <c r="F265" s="164" t="s">
        <v>1219</v>
      </c>
      <c r="G265" s="164" t="s">
        <v>648</v>
      </c>
      <c r="H265" s="165">
        <v>176.84</v>
      </c>
      <c r="I265" s="165">
        <v>0</v>
      </c>
      <c r="J265" s="166">
        <f t="shared" si="3"/>
        <v>176.84</v>
      </c>
      <c r="M265" s="52" t="s">
        <v>575</v>
      </c>
    </row>
    <row r="266" spans="2:13" ht="15" customHeight="1" x14ac:dyDescent="0.3">
      <c r="B266" s="162">
        <v>17</v>
      </c>
      <c r="E266" s="163">
        <v>17</v>
      </c>
      <c r="F266" s="164" t="s">
        <v>921</v>
      </c>
      <c r="G266" s="164" t="s">
        <v>799</v>
      </c>
      <c r="H266" s="165">
        <v>3640.1000000000058</v>
      </c>
      <c r="I266" s="165">
        <v>0</v>
      </c>
      <c r="J266" s="166">
        <f t="shared" si="3"/>
        <v>3640.1000000000058</v>
      </c>
      <c r="M266" s="52" t="s">
        <v>575</v>
      </c>
    </row>
    <row r="267" spans="2:13" ht="15" customHeight="1" x14ac:dyDescent="0.3">
      <c r="B267" s="135"/>
      <c r="E267" s="127"/>
      <c r="F267" s="128"/>
      <c r="G267" s="128"/>
      <c r="H267" s="129"/>
      <c r="I267" s="129"/>
      <c r="J267" s="130"/>
    </row>
    <row r="268" spans="2:13" ht="15" customHeight="1" x14ac:dyDescent="0.3">
      <c r="E268" s="60" t="s">
        <v>0</v>
      </c>
      <c r="F268" s="61"/>
      <c r="G268" s="61"/>
      <c r="H268" s="62">
        <f>SUM(H21:H267)</f>
        <v>310739.29000000015</v>
      </c>
      <c r="I268" s="62">
        <f>SUM(I21:I267)</f>
        <v>6879</v>
      </c>
      <c r="J268" s="62">
        <f>SUM(J21:J267)</f>
        <v>303860.29000000015</v>
      </c>
    </row>
    <row r="270" spans="2:13" ht="15" customHeight="1" x14ac:dyDescent="0.3">
      <c r="E270" s="56" t="s">
        <v>299</v>
      </c>
      <c r="F270" s="57"/>
      <c r="G270" s="57"/>
      <c r="H270" s="57"/>
      <c r="I270" s="57"/>
      <c r="J270" s="57"/>
    </row>
    <row r="271" spans="2:13" ht="15" customHeight="1" x14ac:dyDescent="0.3">
      <c r="B271" s="134" t="s">
        <v>249</v>
      </c>
      <c r="E271" s="58" t="s">
        <v>156</v>
      </c>
      <c r="F271" s="59" t="s">
        <v>165</v>
      </c>
      <c r="G271" s="59" t="s">
        <v>151</v>
      </c>
      <c r="H271" s="58" t="s">
        <v>166</v>
      </c>
      <c r="I271" s="58" t="s">
        <v>1</v>
      </c>
      <c r="J271" s="58" t="s">
        <v>152</v>
      </c>
    </row>
    <row r="272" spans="2:13" ht="15" customHeight="1" x14ac:dyDescent="0.3">
      <c r="B272" s="135"/>
      <c r="E272" s="151"/>
      <c r="F272" s="152"/>
      <c r="G272" s="152"/>
      <c r="H272" s="153"/>
      <c r="I272" s="153"/>
      <c r="J272" s="154"/>
    </row>
    <row r="273" spans="2:13" ht="15" customHeight="1" x14ac:dyDescent="0.3">
      <c r="B273" s="162">
        <v>17</v>
      </c>
      <c r="E273" s="163">
        <v>1</v>
      </c>
      <c r="F273" s="164" t="s">
        <v>261</v>
      </c>
      <c r="G273" s="164" t="s">
        <v>1220</v>
      </c>
      <c r="H273" s="165">
        <v>10000</v>
      </c>
      <c r="I273" s="165">
        <v>0</v>
      </c>
      <c r="J273" s="166">
        <f>H273-I273</f>
        <v>10000</v>
      </c>
      <c r="M273" s="52" t="s">
        <v>535</v>
      </c>
    </row>
    <row r="274" spans="2:13" ht="15" customHeight="1" x14ac:dyDescent="0.3">
      <c r="B274" s="162">
        <v>17</v>
      </c>
      <c r="E274" s="163">
        <v>3</v>
      </c>
      <c r="F274" s="164" t="s">
        <v>1221</v>
      </c>
      <c r="G274" s="164" t="s">
        <v>1222</v>
      </c>
      <c r="H274" s="165">
        <v>83450</v>
      </c>
      <c r="I274" s="165">
        <v>8345</v>
      </c>
      <c r="J274" s="166">
        <f t="shared" ref="J274:J290" si="4">H274-I274</f>
        <v>75105</v>
      </c>
      <c r="M274" s="52" t="s">
        <v>575</v>
      </c>
    </row>
    <row r="275" spans="2:13" ht="15" customHeight="1" x14ac:dyDescent="0.3">
      <c r="B275" s="162">
        <v>17</v>
      </c>
      <c r="E275" s="163">
        <v>7</v>
      </c>
      <c r="F275" s="164" t="s">
        <v>1223</v>
      </c>
      <c r="G275" s="164" t="s">
        <v>1224</v>
      </c>
      <c r="H275" s="165">
        <v>16800</v>
      </c>
      <c r="I275" s="165">
        <v>1680</v>
      </c>
      <c r="J275" s="166">
        <f t="shared" si="4"/>
        <v>15120</v>
      </c>
      <c r="M275" s="52" t="s">
        <v>575</v>
      </c>
    </row>
    <row r="276" spans="2:13" ht="15" customHeight="1" x14ac:dyDescent="0.3">
      <c r="B276" s="162">
        <v>17</v>
      </c>
      <c r="E276" s="163">
        <v>8</v>
      </c>
      <c r="F276" s="164" t="s">
        <v>1225</v>
      </c>
      <c r="G276" s="164" t="s">
        <v>1226</v>
      </c>
      <c r="H276" s="165">
        <v>1500</v>
      </c>
      <c r="I276" s="165">
        <v>0</v>
      </c>
      <c r="J276" s="166">
        <f t="shared" si="4"/>
        <v>1500</v>
      </c>
      <c r="M276" s="52" t="s">
        <v>575</v>
      </c>
    </row>
    <row r="277" spans="2:13" ht="15" customHeight="1" x14ac:dyDescent="0.3">
      <c r="B277" s="162">
        <v>17</v>
      </c>
      <c r="E277" s="163">
        <v>8</v>
      </c>
      <c r="F277" s="164" t="s">
        <v>1227</v>
      </c>
      <c r="G277" s="164" t="s">
        <v>1226</v>
      </c>
      <c r="H277" s="165">
        <v>14000</v>
      </c>
      <c r="I277" s="165">
        <v>0</v>
      </c>
      <c r="J277" s="166">
        <f t="shared" si="4"/>
        <v>14000</v>
      </c>
      <c r="M277" s="52" t="s">
        <v>575</v>
      </c>
    </row>
    <row r="278" spans="2:13" ht="15" customHeight="1" x14ac:dyDescent="0.3">
      <c r="B278" s="162">
        <v>17</v>
      </c>
      <c r="E278" s="163">
        <v>9</v>
      </c>
      <c r="F278" s="164" t="s">
        <v>779</v>
      </c>
      <c r="G278" s="164" t="s">
        <v>1226</v>
      </c>
      <c r="H278" s="165">
        <v>28000</v>
      </c>
      <c r="I278" s="165">
        <v>0</v>
      </c>
      <c r="J278" s="166">
        <f t="shared" si="4"/>
        <v>28000</v>
      </c>
      <c r="M278" s="52" t="s">
        <v>575</v>
      </c>
    </row>
    <row r="279" spans="2:13" ht="15" customHeight="1" x14ac:dyDescent="0.3">
      <c r="B279" s="162">
        <v>17</v>
      </c>
      <c r="E279" s="163">
        <v>10</v>
      </c>
      <c r="F279" s="164" t="s">
        <v>1228</v>
      </c>
      <c r="G279" s="164" t="s">
        <v>1226</v>
      </c>
      <c r="H279" s="165">
        <v>2450</v>
      </c>
      <c r="I279" s="165">
        <v>0</v>
      </c>
      <c r="J279" s="166">
        <f t="shared" si="4"/>
        <v>2450</v>
      </c>
      <c r="M279" s="52" t="s">
        <v>575</v>
      </c>
    </row>
    <row r="280" spans="2:13" ht="15" customHeight="1" x14ac:dyDescent="0.3">
      <c r="B280" s="162">
        <v>17</v>
      </c>
      <c r="E280" s="163">
        <v>11</v>
      </c>
      <c r="F280" s="164" t="s">
        <v>1025</v>
      </c>
      <c r="G280" s="164" t="s">
        <v>1226</v>
      </c>
      <c r="H280" s="165">
        <v>1000</v>
      </c>
      <c r="I280" s="165">
        <v>0</v>
      </c>
      <c r="J280" s="166">
        <f t="shared" si="4"/>
        <v>1000</v>
      </c>
      <c r="M280" s="52" t="s">
        <v>575</v>
      </c>
    </row>
    <row r="281" spans="2:13" ht="15" customHeight="1" x14ac:dyDescent="0.3">
      <c r="B281" s="162">
        <v>17</v>
      </c>
      <c r="E281" s="163">
        <v>11</v>
      </c>
      <c r="F281" s="164" t="s">
        <v>1229</v>
      </c>
      <c r="G281" s="164" t="s">
        <v>1226</v>
      </c>
      <c r="H281" s="165">
        <v>27000</v>
      </c>
      <c r="I281" s="165">
        <v>0</v>
      </c>
      <c r="J281" s="166">
        <f t="shared" si="4"/>
        <v>27000</v>
      </c>
      <c r="M281" s="52" t="s">
        <v>575</v>
      </c>
    </row>
    <row r="282" spans="2:13" ht="15" customHeight="1" x14ac:dyDescent="0.3">
      <c r="B282" s="162">
        <v>17</v>
      </c>
      <c r="E282" s="163">
        <v>12</v>
      </c>
      <c r="F282" s="164" t="s">
        <v>1230</v>
      </c>
      <c r="G282" s="164" t="s">
        <v>1231</v>
      </c>
      <c r="H282" s="165">
        <v>6156.15</v>
      </c>
      <c r="I282" s="165">
        <v>0</v>
      </c>
      <c r="J282" s="166">
        <f t="shared" si="4"/>
        <v>6156.15</v>
      </c>
      <c r="M282" s="52">
        <v>11288</v>
      </c>
    </row>
    <row r="283" spans="2:13" ht="15" customHeight="1" x14ac:dyDescent="0.3">
      <c r="B283" s="162">
        <v>17</v>
      </c>
      <c r="E283" s="163">
        <v>12</v>
      </c>
      <c r="F283" s="164" t="s">
        <v>1232</v>
      </c>
      <c r="G283" s="164" t="s">
        <v>1233</v>
      </c>
      <c r="H283" s="165">
        <v>6000</v>
      </c>
      <c r="I283" s="165">
        <v>0</v>
      </c>
      <c r="J283" s="166">
        <f t="shared" si="4"/>
        <v>6000</v>
      </c>
      <c r="M283" s="52" t="s">
        <v>535</v>
      </c>
    </row>
    <row r="284" spans="2:13" ht="15" customHeight="1" x14ac:dyDescent="0.3">
      <c r="B284" s="162">
        <v>17</v>
      </c>
      <c r="E284" s="163">
        <v>12</v>
      </c>
      <c r="F284" s="164" t="s">
        <v>1232</v>
      </c>
      <c r="G284" s="164" t="s">
        <v>1233</v>
      </c>
      <c r="H284" s="165">
        <v>6000</v>
      </c>
      <c r="I284" s="165">
        <v>0</v>
      </c>
      <c r="J284" s="166">
        <f t="shared" si="4"/>
        <v>6000</v>
      </c>
      <c r="M284" s="52" t="s">
        <v>535</v>
      </c>
    </row>
    <row r="285" spans="2:13" ht="15" customHeight="1" x14ac:dyDescent="0.3">
      <c r="B285" s="162">
        <v>17</v>
      </c>
      <c r="E285" s="163">
        <v>12</v>
      </c>
      <c r="F285" s="164" t="s">
        <v>1234</v>
      </c>
      <c r="G285" s="164" t="s">
        <v>1226</v>
      </c>
      <c r="H285" s="165">
        <v>5000</v>
      </c>
      <c r="I285" s="165">
        <v>0</v>
      </c>
      <c r="J285" s="166">
        <f t="shared" si="4"/>
        <v>5000</v>
      </c>
      <c r="M285" s="52" t="s">
        <v>575</v>
      </c>
    </row>
    <row r="286" spans="2:13" ht="15" customHeight="1" x14ac:dyDescent="0.3">
      <c r="B286" s="162">
        <v>17</v>
      </c>
      <c r="E286" s="163">
        <v>15</v>
      </c>
      <c r="F286" s="164" t="s">
        <v>1235</v>
      </c>
      <c r="G286" s="164" t="s">
        <v>1236</v>
      </c>
      <c r="H286" s="165">
        <v>89232</v>
      </c>
      <c r="I286" s="165">
        <v>8923.2000000000007</v>
      </c>
      <c r="J286" s="166">
        <f t="shared" si="4"/>
        <v>80308.800000000003</v>
      </c>
      <c r="M286" s="52" t="s">
        <v>575</v>
      </c>
    </row>
    <row r="287" spans="2:13" ht="15" customHeight="1" x14ac:dyDescent="0.3">
      <c r="B287" s="162">
        <v>17</v>
      </c>
      <c r="E287" s="163">
        <v>15</v>
      </c>
      <c r="F287" s="164" t="s">
        <v>275</v>
      </c>
      <c r="G287" s="164" t="s">
        <v>798</v>
      </c>
      <c r="H287" s="165">
        <v>69469.41</v>
      </c>
      <c r="I287" s="165">
        <v>0</v>
      </c>
      <c r="J287" s="166">
        <f t="shared" si="4"/>
        <v>69469.41</v>
      </c>
      <c r="M287" s="52" t="s">
        <v>575</v>
      </c>
    </row>
    <row r="288" spans="2:13" ht="15" customHeight="1" x14ac:dyDescent="0.3">
      <c r="B288" s="162">
        <v>17</v>
      </c>
      <c r="E288" s="163">
        <v>15</v>
      </c>
      <c r="F288" s="164" t="s">
        <v>797</v>
      </c>
      <c r="G288" s="164" t="s">
        <v>1237</v>
      </c>
      <c r="H288" s="165">
        <v>24300</v>
      </c>
      <c r="I288" s="165">
        <v>2430</v>
      </c>
      <c r="J288" s="166">
        <f t="shared" si="4"/>
        <v>21870</v>
      </c>
      <c r="M288" s="52" t="s">
        <v>575</v>
      </c>
    </row>
    <row r="289" spans="2:13" ht="15" customHeight="1" x14ac:dyDescent="0.3">
      <c r="B289" s="162">
        <v>17</v>
      </c>
      <c r="E289" s="163">
        <v>16</v>
      </c>
      <c r="F289" s="164" t="s">
        <v>827</v>
      </c>
      <c r="G289" s="164" t="s">
        <v>1238</v>
      </c>
      <c r="H289" s="165">
        <v>46500</v>
      </c>
      <c r="I289" s="165">
        <v>4650</v>
      </c>
      <c r="J289" s="166">
        <f t="shared" si="4"/>
        <v>41850</v>
      </c>
      <c r="M289" s="52" t="s">
        <v>575</v>
      </c>
    </row>
    <row r="290" spans="2:13" ht="15" customHeight="1" x14ac:dyDescent="0.3">
      <c r="B290" s="162">
        <v>17</v>
      </c>
      <c r="E290" s="163">
        <v>16</v>
      </c>
      <c r="F290" s="164" t="s">
        <v>797</v>
      </c>
      <c r="G290" s="164" t="s">
        <v>1237</v>
      </c>
      <c r="H290" s="165">
        <v>10000</v>
      </c>
      <c r="I290" s="165">
        <v>1000</v>
      </c>
      <c r="J290" s="166">
        <f t="shared" si="4"/>
        <v>9000</v>
      </c>
      <c r="M290" s="52" t="s">
        <v>575</v>
      </c>
    </row>
    <row r="291" spans="2:13" ht="15" customHeight="1" x14ac:dyDescent="0.3">
      <c r="B291" s="135"/>
      <c r="E291" s="127"/>
      <c r="F291" s="128"/>
      <c r="G291" s="128"/>
      <c r="H291" s="129"/>
      <c r="I291" s="129"/>
      <c r="J291" s="130"/>
    </row>
    <row r="292" spans="2:13" ht="15" customHeight="1" x14ac:dyDescent="0.3">
      <c r="E292" s="60" t="s">
        <v>0</v>
      </c>
      <c r="F292" s="61"/>
      <c r="G292" s="61"/>
      <c r="H292" s="62">
        <f>SUM(H272:H291)</f>
        <v>446857.56000000006</v>
      </c>
      <c r="I292" s="62">
        <f t="shared" ref="I292:J292" si="5">SUM(I272:I291)</f>
        <v>27028.2</v>
      </c>
      <c r="J292" s="62">
        <f t="shared" si="5"/>
        <v>419829.36</v>
      </c>
    </row>
    <row r="294" spans="2:13" ht="15" customHeight="1" x14ac:dyDescent="0.3">
      <c r="E294" s="64" t="s">
        <v>194</v>
      </c>
      <c r="F294" s="63"/>
      <c r="G294" s="63"/>
      <c r="H294" s="65">
        <f>+SUM(H268,H292)</f>
        <v>757596.85000000021</v>
      </c>
      <c r="I294" s="65">
        <f>+SUM(I268,I292)</f>
        <v>33907.199999999997</v>
      </c>
      <c r="J294" s="65">
        <f>+SUM(J268,J292)</f>
        <v>723689.65000000014</v>
      </c>
    </row>
    <row r="300" spans="2:13" ht="15" customHeight="1" x14ac:dyDescent="0.3">
      <c r="E300" s="139" t="s">
        <v>250</v>
      </c>
      <c r="F300" s="140"/>
      <c r="G300" s="140"/>
      <c r="H300" s="140"/>
      <c r="I300" s="140"/>
      <c r="J300" s="141"/>
    </row>
    <row r="302" spans="2:13" ht="15" customHeight="1" x14ac:dyDescent="0.3">
      <c r="B302" s="134" t="s">
        <v>249</v>
      </c>
      <c r="E302" s="58" t="s">
        <v>156</v>
      </c>
      <c r="F302" s="59" t="s">
        <v>165</v>
      </c>
      <c r="G302" s="59" t="s">
        <v>151</v>
      </c>
      <c r="H302" s="58" t="s">
        <v>166</v>
      </c>
      <c r="I302" s="58" t="s">
        <v>1</v>
      </c>
      <c r="J302" s="58" t="s">
        <v>152</v>
      </c>
    </row>
    <row r="303" spans="2:13" ht="15" customHeight="1" x14ac:dyDescent="0.3">
      <c r="B303" s="135">
        <v>1</v>
      </c>
      <c r="E303" s="127">
        <v>2</v>
      </c>
      <c r="F303" s="128" t="s">
        <v>173</v>
      </c>
      <c r="G303" s="128" t="s">
        <v>201</v>
      </c>
      <c r="H303" s="129">
        <v>2233</v>
      </c>
      <c r="I303" s="129">
        <v>0</v>
      </c>
      <c r="J303" s="130">
        <f>+H303-I303</f>
        <v>2233</v>
      </c>
    </row>
    <row r="304" spans="2:13" ht="15" customHeight="1" x14ac:dyDescent="0.3">
      <c r="B304" s="135">
        <v>1</v>
      </c>
      <c r="E304" s="127">
        <v>1</v>
      </c>
      <c r="F304" s="128" t="s">
        <v>174</v>
      </c>
      <c r="G304" s="128" t="s">
        <v>202</v>
      </c>
      <c r="H304" s="129">
        <v>278.74</v>
      </c>
      <c r="I304" s="129">
        <v>0</v>
      </c>
      <c r="J304" s="130">
        <f t="shared" ref="J304:J312" si="6">+H304-I304</f>
        <v>278.74</v>
      </c>
    </row>
    <row r="305" spans="2:10" ht="15" customHeight="1" x14ac:dyDescent="0.3">
      <c r="B305" s="135">
        <v>1</v>
      </c>
      <c r="E305" s="127">
        <v>1</v>
      </c>
      <c r="F305" s="128" t="s">
        <v>174</v>
      </c>
      <c r="G305" s="128" t="s">
        <v>202</v>
      </c>
      <c r="H305" s="129">
        <v>321.5</v>
      </c>
      <c r="I305" s="129">
        <v>0</v>
      </c>
      <c r="J305" s="130">
        <f t="shared" si="6"/>
        <v>321.5</v>
      </c>
    </row>
    <row r="306" spans="2:10" ht="15" customHeight="1" x14ac:dyDescent="0.3">
      <c r="B306" s="135">
        <v>1</v>
      </c>
      <c r="E306" s="127">
        <v>1</v>
      </c>
      <c r="F306" s="128" t="s">
        <v>175</v>
      </c>
      <c r="G306" s="128" t="s">
        <v>203</v>
      </c>
      <c r="H306" s="129">
        <v>211.63</v>
      </c>
      <c r="I306" s="129">
        <v>0</v>
      </c>
      <c r="J306" s="130">
        <f t="shared" si="6"/>
        <v>211.63</v>
      </c>
    </row>
    <row r="307" spans="2:10" ht="15" customHeight="1" x14ac:dyDescent="0.3">
      <c r="B307" s="135">
        <v>1</v>
      </c>
      <c r="E307" s="127">
        <v>1</v>
      </c>
      <c r="F307" s="128" t="s">
        <v>176</v>
      </c>
      <c r="G307" s="128" t="s">
        <v>204</v>
      </c>
      <c r="H307" s="129">
        <f>+(4335+377.4+65+7.5)*1.0825</f>
        <v>5179.6542499999996</v>
      </c>
      <c r="I307" s="129">
        <v>0</v>
      </c>
      <c r="J307" s="130">
        <f t="shared" si="6"/>
        <v>5179.6542499999996</v>
      </c>
    </row>
    <row r="308" spans="2:10" ht="15" customHeight="1" x14ac:dyDescent="0.3">
      <c r="B308" s="135">
        <v>1</v>
      </c>
      <c r="E308" s="127">
        <v>2</v>
      </c>
      <c r="F308" s="128" t="s">
        <v>177</v>
      </c>
      <c r="G308" s="128" t="s">
        <v>204</v>
      </c>
      <c r="H308" s="129">
        <f>10010.32-H307</f>
        <v>4830.6657500000001</v>
      </c>
      <c r="I308" s="129">
        <v>0</v>
      </c>
      <c r="J308" s="130">
        <f t="shared" si="6"/>
        <v>4830.6657500000001</v>
      </c>
    </row>
    <row r="309" spans="2:10" ht="15" customHeight="1" x14ac:dyDescent="0.3">
      <c r="B309" s="135">
        <v>1</v>
      </c>
      <c r="E309" s="127">
        <v>2</v>
      </c>
      <c r="F309" s="128" t="s">
        <v>178</v>
      </c>
      <c r="G309" s="128" t="s">
        <v>205</v>
      </c>
      <c r="H309" s="129">
        <v>10000</v>
      </c>
      <c r="I309" s="129">
        <f>+H309*0.1</f>
        <v>1000</v>
      </c>
      <c r="J309" s="130">
        <f t="shared" si="6"/>
        <v>9000</v>
      </c>
    </row>
    <row r="310" spans="2:10" ht="15" customHeight="1" x14ac:dyDescent="0.3">
      <c r="B310" s="135">
        <v>1</v>
      </c>
      <c r="E310" s="127">
        <v>2</v>
      </c>
      <c r="F310" s="128" t="s">
        <v>179</v>
      </c>
      <c r="G310" s="128" t="s">
        <v>205</v>
      </c>
      <c r="H310" s="129">
        <v>12000</v>
      </c>
      <c r="I310" s="129">
        <f>+H310*0.1</f>
        <v>1200</v>
      </c>
      <c r="J310" s="130">
        <f t="shared" si="6"/>
        <v>10800</v>
      </c>
    </row>
    <row r="311" spans="2:10" ht="15" customHeight="1" x14ac:dyDescent="0.3">
      <c r="B311" s="135">
        <v>1</v>
      </c>
      <c r="E311" s="127">
        <v>2</v>
      </c>
      <c r="F311" s="128" t="s">
        <v>180</v>
      </c>
      <c r="G311" s="128" t="s">
        <v>206</v>
      </c>
      <c r="H311" s="131">
        <v>81563.63</v>
      </c>
      <c r="I311" s="129">
        <v>0</v>
      </c>
      <c r="J311" s="130">
        <f t="shared" si="6"/>
        <v>81563.63</v>
      </c>
    </row>
    <row r="312" spans="2:10" ht="15" customHeight="1" x14ac:dyDescent="0.3">
      <c r="B312" s="135">
        <v>1</v>
      </c>
      <c r="E312" s="127">
        <v>2</v>
      </c>
      <c r="F312" s="128" t="s">
        <v>184</v>
      </c>
      <c r="G312" s="128" t="s">
        <v>207</v>
      </c>
      <c r="H312" s="129">
        <v>1100</v>
      </c>
      <c r="I312" s="129">
        <v>0</v>
      </c>
      <c r="J312" s="130">
        <f t="shared" si="6"/>
        <v>1100</v>
      </c>
    </row>
    <row r="313" spans="2:10" ht="15" customHeight="1" x14ac:dyDescent="0.3">
      <c r="B313" s="135">
        <v>1</v>
      </c>
      <c r="E313" s="127">
        <v>1</v>
      </c>
      <c r="F313" s="128" t="s">
        <v>155</v>
      </c>
      <c r="G313" s="128" t="s">
        <v>150</v>
      </c>
      <c r="H313" s="129">
        <v>22000</v>
      </c>
      <c r="I313" s="129">
        <v>0</v>
      </c>
      <c r="J313" s="130">
        <f>+H313-I313</f>
        <v>22000</v>
      </c>
    </row>
    <row r="314" spans="2:10" ht="15" customHeight="1" x14ac:dyDescent="0.3">
      <c r="B314" s="135">
        <v>1</v>
      </c>
      <c r="E314" s="127">
        <v>2</v>
      </c>
      <c r="F314" s="128" t="s">
        <v>181</v>
      </c>
      <c r="G314" s="128" t="s">
        <v>2</v>
      </c>
      <c r="H314" s="129">
        <v>1140</v>
      </c>
      <c r="I314" s="129">
        <v>0</v>
      </c>
      <c r="J314" s="130">
        <f>+H314-I314</f>
        <v>1140</v>
      </c>
    </row>
    <row r="315" spans="2:10" ht="15" customHeight="1" x14ac:dyDescent="0.3">
      <c r="B315" s="135">
        <v>1</v>
      </c>
      <c r="E315" s="127">
        <v>2</v>
      </c>
      <c r="F315" s="128" t="s">
        <v>182</v>
      </c>
      <c r="G315" s="128" t="s">
        <v>183</v>
      </c>
      <c r="H315" s="129">
        <v>3500</v>
      </c>
      <c r="I315" s="129">
        <v>0</v>
      </c>
      <c r="J315" s="130">
        <f>+H315-I315</f>
        <v>3500</v>
      </c>
    </row>
    <row r="316" spans="2:10" ht="15" customHeight="1" x14ac:dyDescent="0.3">
      <c r="B316" s="135">
        <v>1</v>
      </c>
      <c r="E316" s="127">
        <v>2</v>
      </c>
      <c r="F316" s="128" t="s">
        <v>182</v>
      </c>
      <c r="G316" s="128" t="s">
        <v>183</v>
      </c>
      <c r="H316" s="129">
        <v>20995</v>
      </c>
      <c r="I316" s="129">
        <v>0</v>
      </c>
      <c r="J316" s="130">
        <f>+H316-I316</f>
        <v>20995</v>
      </c>
    </row>
    <row r="317" spans="2:10" ht="15" customHeight="1" x14ac:dyDescent="0.3">
      <c r="B317" s="135">
        <v>1</v>
      </c>
      <c r="E317" s="127">
        <v>1</v>
      </c>
      <c r="F317" s="128" t="s">
        <v>169</v>
      </c>
      <c r="G317" s="128" t="s">
        <v>171</v>
      </c>
      <c r="H317" s="129">
        <f>70000/16</f>
        <v>4375</v>
      </c>
      <c r="I317" s="129">
        <v>0</v>
      </c>
      <c r="J317" s="130">
        <f>+H317-I317</f>
        <v>4375</v>
      </c>
    </row>
    <row r="318" spans="2:10" ht="15" customHeight="1" x14ac:dyDescent="0.3">
      <c r="B318" s="135">
        <v>1</v>
      </c>
      <c r="E318" s="127">
        <v>1</v>
      </c>
      <c r="F318" s="128" t="s">
        <v>172</v>
      </c>
      <c r="G318" s="128" t="s">
        <v>171</v>
      </c>
      <c r="H318" s="129">
        <f>65000/16</f>
        <v>4062.5</v>
      </c>
      <c r="I318" s="129">
        <v>0</v>
      </c>
      <c r="J318" s="130">
        <f t="shared" ref="J318:J331" si="7">+H318-I318</f>
        <v>4062.5</v>
      </c>
    </row>
    <row r="319" spans="2:10" ht="15" customHeight="1" x14ac:dyDescent="0.3">
      <c r="B319" s="135">
        <v>1</v>
      </c>
      <c r="E319" s="127">
        <v>18</v>
      </c>
      <c r="F319" s="128" t="s">
        <v>6</v>
      </c>
      <c r="G319" s="128" t="s">
        <v>171</v>
      </c>
      <c r="H319" s="129">
        <f>300000/16</f>
        <v>18750</v>
      </c>
      <c r="I319" s="129">
        <f>+H319*0.1</f>
        <v>1875</v>
      </c>
      <c r="J319" s="130">
        <f t="shared" si="7"/>
        <v>16875</v>
      </c>
    </row>
    <row r="320" spans="2:10" ht="15" customHeight="1" x14ac:dyDescent="0.3">
      <c r="B320" s="135">
        <v>1</v>
      </c>
      <c r="E320" s="127">
        <v>17</v>
      </c>
      <c r="F320" s="128" t="s">
        <v>4</v>
      </c>
      <c r="G320" s="128" t="s">
        <v>208</v>
      </c>
      <c r="H320" s="129">
        <v>15466.08</v>
      </c>
      <c r="I320" s="129">
        <v>0</v>
      </c>
      <c r="J320" s="130">
        <f t="shared" si="7"/>
        <v>15466.08</v>
      </c>
    </row>
    <row r="321" spans="2:10" ht="15" customHeight="1" x14ac:dyDescent="0.3">
      <c r="B321" s="135">
        <v>1</v>
      </c>
      <c r="E321" s="127">
        <v>17</v>
      </c>
      <c r="F321" s="128" t="s">
        <v>4</v>
      </c>
      <c r="G321" s="128" t="s">
        <v>209</v>
      </c>
      <c r="H321" s="129">
        <v>4087</v>
      </c>
      <c r="I321" s="129">
        <v>0</v>
      </c>
      <c r="J321" s="130">
        <f t="shared" si="7"/>
        <v>4087</v>
      </c>
    </row>
    <row r="322" spans="2:10" ht="15" customHeight="1" x14ac:dyDescent="0.3">
      <c r="B322" s="135">
        <v>1</v>
      </c>
      <c r="E322" s="127">
        <v>2</v>
      </c>
      <c r="F322" s="128" t="s">
        <v>188</v>
      </c>
      <c r="G322" s="128" t="s">
        <v>153</v>
      </c>
      <c r="H322" s="129">
        <v>35700</v>
      </c>
      <c r="I322" s="129">
        <v>0</v>
      </c>
      <c r="J322" s="130">
        <f t="shared" si="7"/>
        <v>35700</v>
      </c>
    </row>
    <row r="323" spans="2:10" ht="15" customHeight="1" x14ac:dyDescent="0.3">
      <c r="B323" s="135">
        <v>1</v>
      </c>
      <c r="E323" s="127">
        <v>5</v>
      </c>
      <c r="F323" s="128" t="s">
        <v>187</v>
      </c>
      <c r="G323" s="128" t="s">
        <v>5</v>
      </c>
      <c r="H323" s="129">
        <v>20032.34</v>
      </c>
      <c r="I323" s="129">
        <v>0</v>
      </c>
      <c r="J323" s="130">
        <f t="shared" si="7"/>
        <v>20032.34</v>
      </c>
    </row>
    <row r="324" spans="2:10" ht="15" customHeight="1" x14ac:dyDescent="0.3">
      <c r="B324" s="135">
        <v>1</v>
      </c>
      <c r="E324" s="127">
        <v>5</v>
      </c>
      <c r="F324" s="128" t="s">
        <v>185</v>
      </c>
      <c r="G324" s="128" t="s">
        <v>154</v>
      </c>
      <c r="H324" s="129">
        <v>12000</v>
      </c>
      <c r="I324" s="129">
        <f>+H324*0.1</f>
        <v>1200</v>
      </c>
      <c r="J324" s="130">
        <f t="shared" si="7"/>
        <v>10800</v>
      </c>
    </row>
    <row r="325" spans="2:10" ht="15" customHeight="1" x14ac:dyDescent="0.3">
      <c r="B325" s="135">
        <v>1</v>
      </c>
      <c r="E325" s="127">
        <v>16</v>
      </c>
      <c r="F325" s="128" t="s">
        <v>186</v>
      </c>
      <c r="G325" s="128" t="s">
        <v>189</v>
      </c>
      <c r="H325" s="129">
        <v>23382</v>
      </c>
      <c r="I325" s="129">
        <v>0</v>
      </c>
      <c r="J325" s="130">
        <f t="shared" si="7"/>
        <v>23382</v>
      </c>
    </row>
    <row r="326" spans="2:10" ht="15" customHeight="1" x14ac:dyDescent="0.3">
      <c r="B326" s="135">
        <v>1</v>
      </c>
      <c r="E326" s="127">
        <v>8</v>
      </c>
      <c r="F326" s="128" t="s">
        <v>190</v>
      </c>
      <c r="G326" s="128" t="s">
        <v>191</v>
      </c>
      <c r="H326" s="129">
        <v>50500</v>
      </c>
      <c r="I326" s="129">
        <v>0</v>
      </c>
      <c r="J326" s="130">
        <f t="shared" si="7"/>
        <v>50500</v>
      </c>
    </row>
    <row r="327" spans="2:10" ht="15" customHeight="1" x14ac:dyDescent="0.3">
      <c r="B327" s="135">
        <v>1</v>
      </c>
      <c r="E327" s="127">
        <v>13</v>
      </c>
      <c r="F327" s="128" t="s">
        <v>192</v>
      </c>
      <c r="G327" s="128" t="s">
        <v>193</v>
      </c>
      <c r="H327" s="129">
        <f>257000*0.3</f>
        <v>77100</v>
      </c>
      <c r="I327" s="129">
        <v>0</v>
      </c>
      <c r="J327" s="130">
        <f t="shared" si="7"/>
        <v>77100</v>
      </c>
    </row>
    <row r="328" spans="2:10" ht="15" customHeight="1" x14ac:dyDescent="0.3">
      <c r="B328" s="135">
        <v>1</v>
      </c>
      <c r="E328" s="127">
        <v>2</v>
      </c>
      <c r="F328" s="128" t="s">
        <v>200</v>
      </c>
      <c r="G328" s="128" t="s">
        <v>210</v>
      </c>
      <c r="H328" s="129">
        <v>35000</v>
      </c>
      <c r="I328" s="129">
        <v>0</v>
      </c>
      <c r="J328" s="130">
        <f t="shared" si="7"/>
        <v>35000</v>
      </c>
    </row>
    <row r="329" spans="2:10" ht="15" customHeight="1" x14ac:dyDescent="0.3">
      <c r="B329" s="135">
        <v>1</v>
      </c>
      <c r="E329" s="127">
        <v>2</v>
      </c>
      <c r="F329" s="128" t="s">
        <v>195</v>
      </c>
      <c r="G329" s="128" t="s">
        <v>198</v>
      </c>
      <c r="H329" s="129">
        <v>58000</v>
      </c>
      <c r="I329" s="129">
        <f>+H329*0.1</f>
        <v>5800</v>
      </c>
      <c r="J329" s="130">
        <f t="shared" si="7"/>
        <v>52200</v>
      </c>
    </row>
    <row r="330" spans="2:10" ht="15" customHeight="1" x14ac:dyDescent="0.3">
      <c r="B330" s="135">
        <v>1</v>
      </c>
      <c r="E330" s="127">
        <v>2</v>
      </c>
      <c r="F330" s="128" t="s">
        <v>196</v>
      </c>
      <c r="G330" s="128" t="s">
        <v>198</v>
      </c>
      <c r="H330" s="129">
        <v>50000</v>
      </c>
      <c r="I330" s="129">
        <f>+H330*0.1</f>
        <v>5000</v>
      </c>
      <c r="J330" s="130">
        <f t="shared" si="7"/>
        <v>45000</v>
      </c>
    </row>
    <row r="331" spans="2:10" ht="15" customHeight="1" x14ac:dyDescent="0.3">
      <c r="B331" s="135">
        <v>1</v>
      </c>
      <c r="E331" s="127">
        <v>2</v>
      </c>
      <c r="F331" s="128" t="s">
        <v>197</v>
      </c>
      <c r="G331" s="128" t="s">
        <v>199</v>
      </c>
      <c r="H331" s="129">
        <v>25000</v>
      </c>
      <c r="I331" s="129">
        <v>0</v>
      </c>
      <c r="J331" s="130">
        <f t="shared" si="7"/>
        <v>25000</v>
      </c>
    </row>
    <row r="332" spans="2:10" ht="15" customHeight="1" x14ac:dyDescent="0.3">
      <c r="B332" s="135">
        <v>2</v>
      </c>
      <c r="E332" s="127">
        <v>18</v>
      </c>
      <c r="F332" s="128" t="s">
        <v>6</v>
      </c>
      <c r="G332" s="128" t="s">
        <v>222</v>
      </c>
      <c r="H332" s="129">
        <v>18750</v>
      </c>
      <c r="I332" s="129">
        <v>1875</v>
      </c>
      <c r="J332" s="130">
        <f>+H332-I332</f>
        <v>16875</v>
      </c>
    </row>
    <row r="333" spans="2:10" ht="15" customHeight="1" x14ac:dyDescent="0.3">
      <c r="B333" s="135">
        <v>2</v>
      </c>
      <c r="E333" s="127">
        <v>1</v>
      </c>
      <c r="F333" s="128" t="s">
        <v>169</v>
      </c>
      <c r="G333" s="128" t="s">
        <v>222</v>
      </c>
      <c r="H333" s="129">
        <v>4375</v>
      </c>
      <c r="I333" s="129">
        <v>0</v>
      </c>
      <c r="J333" s="130">
        <f t="shared" ref="J333:J351" si="8">+H333-I333</f>
        <v>4375</v>
      </c>
    </row>
    <row r="334" spans="2:10" ht="15" customHeight="1" x14ac:dyDescent="0.3">
      <c r="B334" s="135">
        <v>2</v>
      </c>
      <c r="E334" s="127">
        <v>1</v>
      </c>
      <c r="F334" s="128" t="s">
        <v>172</v>
      </c>
      <c r="G334" s="128" t="s">
        <v>222</v>
      </c>
      <c r="H334" s="129">
        <v>4062.5</v>
      </c>
      <c r="I334" s="129">
        <v>0</v>
      </c>
      <c r="J334" s="130">
        <f t="shared" si="8"/>
        <v>4062.5</v>
      </c>
    </row>
    <row r="335" spans="2:10" ht="15" customHeight="1" x14ac:dyDescent="0.3">
      <c r="B335" s="135">
        <v>2</v>
      </c>
      <c r="E335" s="127">
        <v>1</v>
      </c>
      <c r="F335" s="128" t="s">
        <v>223</v>
      </c>
      <c r="G335" s="128" t="s">
        <v>224</v>
      </c>
      <c r="H335" s="129">
        <v>12500</v>
      </c>
      <c r="I335" s="129">
        <v>0</v>
      </c>
      <c r="J335" s="130">
        <f t="shared" si="8"/>
        <v>12500</v>
      </c>
    </row>
    <row r="336" spans="2:10" ht="15" customHeight="1" x14ac:dyDescent="0.3">
      <c r="B336" s="135">
        <v>2</v>
      </c>
      <c r="E336" s="127">
        <v>1</v>
      </c>
      <c r="F336" s="150" t="s">
        <v>234</v>
      </c>
      <c r="G336" s="128" t="s">
        <v>235</v>
      </c>
      <c r="H336" s="129">
        <v>2995</v>
      </c>
      <c r="I336" s="129">
        <v>0</v>
      </c>
      <c r="J336" s="130">
        <f t="shared" si="8"/>
        <v>2995</v>
      </c>
    </row>
    <row r="337" spans="2:10" ht="15" customHeight="1" x14ac:dyDescent="0.3">
      <c r="B337" s="135">
        <v>2</v>
      </c>
      <c r="E337" s="127">
        <v>1</v>
      </c>
      <c r="F337" s="150" t="s">
        <v>176</v>
      </c>
      <c r="G337" s="128" t="s">
        <v>236</v>
      </c>
      <c r="H337" s="129">
        <v>110.41</v>
      </c>
      <c r="I337" s="129">
        <v>0</v>
      </c>
      <c r="J337" s="130">
        <f t="shared" si="8"/>
        <v>110.41</v>
      </c>
    </row>
    <row r="338" spans="2:10" ht="15" customHeight="1" x14ac:dyDescent="0.3">
      <c r="B338" s="135">
        <v>2</v>
      </c>
      <c r="E338" s="127">
        <v>1</v>
      </c>
      <c r="F338" s="150" t="s">
        <v>174</v>
      </c>
      <c r="G338" s="128" t="s">
        <v>237</v>
      </c>
      <c r="H338" s="131">
        <v>617.28</v>
      </c>
      <c r="I338" s="129">
        <v>0</v>
      </c>
      <c r="J338" s="130">
        <f t="shared" si="8"/>
        <v>617.28</v>
      </c>
    </row>
    <row r="339" spans="2:10" ht="15" customHeight="1" x14ac:dyDescent="0.3">
      <c r="B339" s="135">
        <v>2</v>
      </c>
      <c r="E339" s="127">
        <v>1</v>
      </c>
      <c r="F339" s="150" t="s">
        <v>241</v>
      </c>
      <c r="G339" s="128" t="s">
        <v>238</v>
      </c>
      <c r="H339" s="129">
        <v>130.44</v>
      </c>
      <c r="I339" s="129">
        <v>0</v>
      </c>
      <c r="J339" s="130">
        <f t="shared" si="8"/>
        <v>130.44</v>
      </c>
    </row>
    <row r="340" spans="2:10" ht="15" customHeight="1" x14ac:dyDescent="0.3">
      <c r="B340" s="135">
        <v>2</v>
      </c>
      <c r="E340" s="127">
        <v>1</v>
      </c>
      <c r="F340" s="150" t="s">
        <v>241</v>
      </c>
      <c r="G340" s="128" t="s">
        <v>238</v>
      </c>
      <c r="H340" s="129">
        <v>130.44</v>
      </c>
      <c r="I340" s="129">
        <v>0</v>
      </c>
      <c r="J340" s="130">
        <f t="shared" si="8"/>
        <v>130.44</v>
      </c>
    </row>
    <row r="341" spans="2:10" ht="15" customHeight="1" x14ac:dyDescent="0.3">
      <c r="B341" s="135">
        <v>2</v>
      </c>
      <c r="E341" s="127">
        <v>1</v>
      </c>
      <c r="F341" s="150" t="s">
        <v>242</v>
      </c>
      <c r="G341" s="128" t="s">
        <v>239</v>
      </c>
      <c r="H341" s="129">
        <v>969.9</v>
      </c>
      <c r="I341" s="129">
        <v>0</v>
      </c>
      <c r="J341" s="130">
        <f t="shared" si="8"/>
        <v>969.9</v>
      </c>
    </row>
    <row r="342" spans="2:10" ht="15" customHeight="1" x14ac:dyDescent="0.3">
      <c r="B342" s="135">
        <v>2</v>
      </c>
      <c r="E342" s="127">
        <v>1</v>
      </c>
      <c r="F342" s="150" t="s">
        <v>243</v>
      </c>
      <c r="G342" s="128" t="s">
        <v>239</v>
      </c>
      <c r="H342" s="129">
        <v>106.21</v>
      </c>
      <c r="I342" s="129">
        <v>0</v>
      </c>
      <c r="J342" s="130">
        <f t="shared" si="8"/>
        <v>106.21</v>
      </c>
    </row>
    <row r="343" spans="2:10" ht="15" customHeight="1" x14ac:dyDescent="0.3">
      <c r="B343" s="135">
        <v>2</v>
      </c>
      <c r="E343" s="127">
        <v>1</v>
      </c>
      <c r="F343" s="150" t="s">
        <v>244</v>
      </c>
      <c r="G343" s="128" t="s">
        <v>239</v>
      </c>
      <c r="H343" s="129">
        <v>5863</v>
      </c>
      <c r="I343" s="129">
        <v>0</v>
      </c>
      <c r="J343" s="130">
        <f t="shared" si="8"/>
        <v>5863</v>
      </c>
    </row>
    <row r="344" spans="2:10" ht="15" customHeight="1" x14ac:dyDescent="0.3">
      <c r="B344" s="135">
        <v>2</v>
      </c>
      <c r="E344" s="127">
        <v>1</v>
      </c>
      <c r="F344" s="150" t="s">
        <v>245</v>
      </c>
      <c r="G344" s="128"/>
      <c r="H344" s="129">
        <v>340.05</v>
      </c>
      <c r="I344" s="129">
        <v>0</v>
      </c>
      <c r="J344" s="130">
        <f t="shared" si="8"/>
        <v>340.05</v>
      </c>
    </row>
    <row r="345" spans="2:10" ht="15" customHeight="1" x14ac:dyDescent="0.3">
      <c r="B345" s="135">
        <v>2</v>
      </c>
      <c r="E345" s="127">
        <v>1</v>
      </c>
      <c r="F345" s="150" t="s">
        <v>245</v>
      </c>
      <c r="G345" s="128"/>
      <c r="H345" s="129">
        <v>26.96</v>
      </c>
      <c r="I345" s="129">
        <v>0</v>
      </c>
      <c r="J345" s="130">
        <f t="shared" si="8"/>
        <v>26.96</v>
      </c>
    </row>
    <row r="346" spans="2:10" ht="15" customHeight="1" x14ac:dyDescent="0.3">
      <c r="B346" s="135">
        <v>2</v>
      </c>
      <c r="E346" s="127">
        <v>1</v>
      </c>
      <c r="F346" s="150" t="s">
        <v>245</v>
      </c>
      <c r="G346" s="128"/>
      <c r="H346" s="129">
        <v>64.319999999999993</v>
      </c>
      <c r="I346" s="129">
        <v>0</v>
      </c>
      <c r="J346" s="130">
        <f t="shared" si="8"/>
        <v>64.319999999999993</v>
      </c>
    </row>
    <row r="347" spans="2:10" ht="15" customHeight="1" x14ac:dyDescent="0.3">
      <c r="B347" s="135">
        <v>2</v>
      </c>
      <c r="E347" s="127">
        <v>1</v>
      </c>
      <c r="F347" s="150" t="s">
        <v>245</v>
      </c>
      <c r="G347" s="128"/>
      <c r="H347" s="129">
        <v>82.91</v>
      </c>
      <c r="I347" s="129">
        <v>0</v>
      </c>
      <c r="J347" s="130">
        <f t="shared" si="8"/>
        <v>82.91</v>
      </c>
    </row>
    <row r="348" spans="2:10" ht="15" customHeight="1" x14ac:dyDescent="0.3">
      <c r="B348" s="135">
        <v>2</v>
      </c>
      <c r="E348" s="127">
        <v>1</v>
      </c>
      <c r="F348" s="150" t="s">
        <v>245</v>
      </c>
      <c r="G348" s="128"/>
      <c r="H348" s="129">
        <v>140.62</v>
      </c>
      <c r="I348" s="129">
        <v>0</v>
      </c>
      <c r="J348" s="130">
        <f t="shared" si="8"/>
        <v>140.62</v>
      </c>
    </row>
    <row r="349" spans="2:10" ht="15" customHeight="1" x14ac:dyDescent="0.3">
      <c r="B349" s="135">
        <v>2</v>
      </c>
      <c r="E349" s="127">
        <v>1</v>
      </c>
      <c r="F349" s="150" t="s">
        <v>246</v>
      </c>
      <c r="G349" s="128" t="s">
        <v>240</v>
      </c>
      <c r="H349" s="131">
        <v>215.42</v>
      </c>
      <c r="I349" s="129">
        <v>0</v>
      </c>
      <c r="J349" s="130">
        <f t="shared" si="8"/>
        <v>215.42</v>
      </c>
    </row>
    <row r="350" spans="2:10" ht="15" customHeight="1" x14ac:dyDescent="0.3">
      <c r="B350" s="135">
        <v>2</v>
      </c>
      <c r="E350" s="127">
        <v>1</v>
      </c>
      <c r="F350" s="150" t="s">
        <v>248</v>
      </c>
      <c r="G350" s="128"/>
      <c r="H350" s="131">
        <v>20</v>
      </c>
      <c r="I350" s="129">
        <v>0</v>
      </c>
      <c r="J350" s="130">
        <f t="shared" si="8"/>
        <v>20</v>
      </c>
    </row>
    <row r="351" spans="2:10" ht="15" customHeight="1" x14ac:dyDescent="0.3">
      <c r="B351" s="135">
        <v>2</v>
      </c>
      <c r="E351" s="127">
        <v>1</v>
      </c>
      <c r="F351" s="150" t="s">
        <v>247</v>
      </c>
      <c r="G351" s="128"/>
      <c r="H351" s="131">
        <v>374.55</v>
      </c>
      <c r="I351" s="129">
        <v>0</v>
      </c>
      <c r="J351" s="130">
        <f t="shared" si="8"/>
        <v>374.55</v>
      </c>
    </row>
    <row r="352" spans="2:10" ht="15" customHeight="1" x14ac:dyDescent="0.3">
      <c r="B352" s="135">
        <v>2</v>
      </c>
      <c r="E352" s="127">
        <v>15</v>
      </c>
      <c r="F352" s="128" t="s">
        <v>251</v>
      </c>
      <c r="G352" s="128" t="s">
        <v>252</v>
      </c>
      <c r="H352" s="129">
        <v>160000</v>
      </c>
      <c r="I352" s="129">
        <v>16000</v>
      </c>
      <c r="J352" s="130">
        <f>+H352-I352</f>
        <v>144000</v>
      </c>
    </row>
    <row r="353" spans="2:10" ht="15" customHeight="1" x14ac:dyDescent="0.3">
      <c r="B353" s="135">
        <v>2</v>
      </c>
      <c r="E353" s="127">
        <v>18</v>
      </c>
      <c r="F353" s="128" t="s">
        <v>225</v>
      </c>
      <c r="G353" s="128" t="s">
        <v>221</v>
      </c>
      <c r="H353" s="129">
        <v>18750</v>
      </c>
      <c r="I353" s="129">
        <v>1875</v>
      </c>
      <c r="J353" s="130">
        <f>+H353-I353</f>
        <v>16875</v>
      </c>
    </row>
    <row r="354" spans="2:10" ht="15" customHeight="1" x14ac:dyDescent="0.3">
      <c r="B354" s="135">
        <v>2</v>
      </c>
      <c r="E354" s="127">
        <v>1</v>
      </c>
      <c r="F354" s="128" t="s">
        <v>226</v>
      </c>
      <c r="G354" s="128" t="s">
        <v>221</v>
      </c>
      <c r="H354" s="129">
        <v>4375</v>
      </c>
      <c r="I354" s="129">
        <v>0</v>
      </c>
      <c r="J354" s="130">
        <f t="shared" ref="J354:J361" si="9">+H354-I354</f>
        <v>4375</v>
      </c>
    </row>
    <row r="355" spans="2:10" ht="15" customHeight="1" x14ac:dyDescent="0.3">
      <c r="B355" s="135">
        <v>2</v>
      </c>
      <c r="E355" s="127">
        <v>1</v>
      </c>
      <c r="F355" s="128" t="s">
        <v>227</v>
      </c>
      <c r="G355" s="128" t="s">
        <v>221</v>
      </c>
      <c r="H355" s="129">
        <v>4062.5</v>
      </c>
      <c r="I355" s="129">
        <v>0</v>
      </c>
      <c r="J355" s="130">
        <f t="shared" si="9"/>
        <v>4062.5</v>
      </c>
    </row>
    <row r="356" spans="2:10" ht="15" customHeight="1" x14ac:dyDescent="0.3">
      <c r="B356" s="135">
        <v>2</v>
      </c>
      <c r="E356" s="127">
        <v>1</v>
      </c>
      <c r="F356" s="128" t="s">
        <v>228</v>
      </c>
      <c r="G356" s="128" t="s">
        <v>221</v>
      </c>
      <c r="H356" s="129">
        <v>10000</v>
      </c>
      <c r="I356" s="129">
        <v>0</v>
      </c>
      <c r="J356" s="130">
        <f t="shared" si="9"/>
        <v>10000</v>
      </c>
    </row>
    <row r="357" spans="2:10" ht="15" customHeight="1" x14ac:dyDescent="0.3">
      <c r="B357" s="135">
        <v>2</v>
      </c>
      <c r="E357" s="127">
        <v>2</v>
      </c>
      <c r="F357" s="128" t="s">
        <v>217</v>
      </c>
      <c r="G357" s="128" t="s">
        <v>233</v>
      </c>
      <c r="H357" s="129">
        <f>140000+71391.1</f>
        <v>211391.1</v>
      </c>
      <c r="I357" s="129">
        <v>0</v>
      </c>
      <c r="J357" s="130">
        <f t="shared" si="9"/>
        <v>211391.1</v>
      </c>
    </row>
    <row r="358" spans="2:10" ht="15" customHeight="1" x14ac:dyDescent="0.3">
      <c r="B358" s="135">
        <v>2</v>
      </c>
      <c r="E358" s="127">
        <v>3</v>
      </c>
      <c r="F358" s="128" t="s">
        <v>218</v>
      </c>
      <c r="G358" s="128" t="s">
        <v>232</v>
      </c>
      <c r="H358" s="129">
        <v>570500</v>
      </c>
      <c r="I358" s="129">
        <v>0</v>
      </c>
      <c r="J358" s="130">
        <f t="shared" si="9"/>
        <v>570500</v>
      </c>
    </row>
    <row r="359" spans="2:10" ht="15" customHeight="1" x14ac:dyDescent="0.3">
      <c r="B359" s="135">
        <v>2</v>
      </c>
      <c r="E359" s="127">
        <v>6</v>
      </c>
      <c r="F359" s="128" t="s">
        <v>219</v>
      </c>
      <c r="G359" s="128" t="s">
        <v>253</v>
      </c>
      <c r="H359" s="129">
        <v>50000</v>
      </c>
      <c r="I359" s="129">
        <f>+H359*0.1</f>
        <v>5000</v>
      </c>
      <c r="J359" s="130">
        <f t="shared" si="9"/>
        <v>45000</v>
      </c>
    </row>
    <row r="360" spans="2:10" ht="15" customHeight="1" x14ac:dyDescent="0.3">
      <c r="B360" s="135">
        <v>2</v>
      </c>
      <c r="E360" s="127">
        <v>16</v>
      </c>
      <c r="F360" s="128" t="s">
        <v>220</v>
      </c>
      <c r="G360" s="128" t="s">
        <v>230</v>
      </c>
      <c r="H360" s="129">
        <v>35000</v>
      </c>
      <c r="I360" s="129">
        <v>3000</v>
      </c>
      <c r="J360" s="130">
        <f t="shared" si="9"/>
        <v>32000</v>
      </c>
    </row>
    <row r="361" spans="2:10" ht="15" customHeight="1" x14ac:dyDescent="0.3">
      <c r="B361" s="135">
        <v>2</v>
      </c>
      <c r="E361" s="127">
        <v>5</v>
      </c>
      <c r="F361" s="128" t="s">
        <v>229</v>
      </c>
      <c r="G361" s="128" t="s">
        <v>231</v>
      </c>
      <c r="H361" s="129">
        <v>60000</v>
      </c>
      <c r="I361" s="129">
        <v>2600</v>
      </c>
      <c r="J361" s="130">
        <f t="shared" si="9"/>
        <v>57400</v>
      </c>
    </row>
    <row r="362" spans="2:10" ht="15" customHeight="1" x14ac:dyDescent="0.3">
      <c r="B362" s="135">
        <v>3</v>
      </c>
      <c r="E362" s="127">
        <v>1</v>
      </c>
      <c r="F362" s="128" t="s">
        <v>254</v>
      </c>
      <c r="G362" s="128" t="s">
        <v>281</v>
      </c>
      <c r="H362" s="129">
        <v>44.850000000000364</v>
      </c>
      <c r="I362" s="129">
        <v>0</v>
      </c>
      <c r="J362" s="130">
        <f t="shared" ref="J362:J434" si="10">+H362-I362</f>
        <v>44.850000000000364</v>
      </c>
    </row>
    <row r="363" spans="2:10" ht="15" customHeight="1" x14ac:dyDescent="0.3">
      <c r="B363" s="135">
        <v>3</v>
      </c>
      <c r="E363" s="127">
        <v>1</v>
      </c>
      <c r="F363" s="128" t="s">
        <v>254</v>
      </c>
      <c r="G363" s="128" t="s">
        <v>278</v>
      </c>
      <c r="H363" s="129">
        <v>1544.85</v>
      </c>
      <c r="I363" s="129">
        <v>0</v>
      </c>
      <c r="J363" s="130">
        <f t="shared" si="10"/>
        <v>1544.85</v>
      </c>
    </row>
    <row r="364" spans="2:10" ht="15" customHeight="1" x14ac:dyDescent="0.3">
      <c r="B364" s="135">
        <v>3</v>
      </c>
      <c r="E364" s="127">
        <v>1</v>
      </c>
      <c r="F364" s="128" t="s">
        <v>254</v>
      </c>
      <c r="G364" s="128" t="s">
        <v>278</v>
      </c>
      <c r="H364" s="129">
        <v>1544.85</v>
      </c>
      <c r="I364" s="129">
        <v>0</v>
      </c>
      <c r="J364" s="130">
        <f t="shared" si="10"/>
        <v>1544.85</v>
      </c>
    </row>
    <row r="365" spans="2:10" ht="15" customHeight="1" x14ac:dyDescent="0.3">
      <c r="B365" s="135">
        <v>3</v>
      </c>
      <c r="E365" s="127">
        <v>1</v>
      </c>
      <c r="F365" s="128" t="s">
        <v>279</v>
      </c>
      <c r="G365" s="128" t="s">
        <v>255</v>
      </c>
      <c r="H365" s="129">
        <v>150.74</v>
      </c>
      <c r="I365" s="129">
        <v>0</v>
      </c>
      <c r="J365" s="130">
        <f t="shared" si="10"/>
        <v>150.74</v>
      </c>
    </row>
    <row r="366" spans="2:10" ht="15" customHeight="1" x14ac:dyDescent="0.3">
      <c r="B366" s="135">
        <v>3</v>
      </c>
      <c r="E366" s="127">
        <v>1</v>
      </c>
      <c r="F366" s="128" t="s">
        <v>279</v>
      </c>
      <c r="G366" s="128" t="s">
        <v>255</v>
      </c>
      <c r="H366" s="129">
        <v>781.84</v>
      </c>
      <c r="I366" s="129">
        <v>0</v>
      </c>
      <c r="J366" s="130">
        <f t="shared" si="10"/>
        <v>781.84</v>
      </c>
    </row>
    <row r="367" spans="2:10" ht="15" customHeight="1" x14ac:dyDescent="0.3">
      <c r="B367" s="135">
        <v>3</v>
      </c>
      <c r="E367" s="127">
        <v>1</v>
      </c>
      <c r="F367" s="128" t="s">
        <v>279</v>
      </c>
      <c r="G367" s="128" t="s">
        <v>255</v>
      </c>
      <c r="H367" s="129">
        <v>150.74</v>
      </c>
      <c r="I367" s="129">
        <v>0</v>
      </c>
      <c r="J367" s="130">
        <f t="shared" si="10"/>
        <v>150.74</v>
      </c>
    </row>
    <row r="368" spans="2:10" ht="15" customHeight="1" x14ac:dyDescent="0.3">
      <c r="B368" s="135">
        <v>3</v>
      </c>
      <c r="E368" s="127">
        <v>1</v>
      </c>
      <c r="F368" s="128" t="s">
        <v>279</v>
      </c>
      <c r="G368" s="128" t="s">
        <v>255</v>
      </c>
      <c r="H368" s="129">
        <v>150.74</v>
      </c>
      <c r="I368" s="129">
        <v>0</v>
      </c>
      <c r="J368" s="130">
        <f t="shared" si="10"/>
        <v>150.74</v>
      </c>
    </row>
    <row r="369" spans="2:10" ht="15" customHeight="1" x14ac:dyDescent="0.3">
      <c r="B369" s="135">
        <v>3</v>
      </c>
      <c r="E369" s="127">
        <v>1</v>
      </c>
      <c r="F369" s="128" t="s">
        <v>279</v>
      </c>
      <c r="G369" s="128" t="s">
        <v>255</v>
      </c>
      <c r="H369" s="129">
        <v>781.84</v>
      </c>
      <c r="I369" s="129">
        <v>0</v>
      </c>
      <c r="J369" s="130">
        <f t="shared" si="10"/>
        <v>781.84</v>
      </c>
    </row>
    <row r="370" spans="2:10" ht="15" customHeight="1" x14ac:dyDescent="0.3">
      <c r="B370" s="135">
        <v>3</v>
      </c>
      <c r="E370" s="127">
        <v>1</v>
      </c>
      <c r="F370" s="128" t="s">
        <v>279</v>
      </c>
      <c r="G370" s="128" t="s">
        <v>255</v>
      </c>
      <c r="H370" s="129">
        <v>150.74</v>
      </c>
      <c r="I370" s="129">
        <v>0</v>
      </c>
      <c r="J370" s="130">
        <f t="shared" si="10"/>
        <v>150.74</v>
      </c>
    </row>
    <row r="371" spans="2:10" ht="15" customHeight="1" x14ac:dyDescent="0.3">
      <c r="B371" s="135">
        <v>3</v>
      </c>
      <c r="E371" s="127">
        <v>1</v>
      </c>
      <c r="F371" s="128" t="s">
        <v>280</v>
      </c>
      <c r="G371" s="128" t="s">
        <v>255</v>
      </c>
      <c r="H371" s="129">
        <v>817.83</v>
      </c>
      <c r="I371" s="129">
        <v>0</v>
      </c>
      <c r="J371" s="130">
        <f t="shared" si="10"/>
        <v>817.83</v>
      </c>
    </row>
    <row r="372" spans="2:10" ht="15" customHeight="1" x14ac:dyDescent="0.3">
      <c r="B372" s="135">
        <v>3</v>
      </c>
      <c r="E372" s="127">
        <v>1</v>
      </c>
      <c r="F372" s="128" t="s">
        <v>280</v>
      </c>
      <c r="G372" s="128" t="s">
        <v>255</v>
      </c>
      <c r="H372" s="129">
        <v>1997.75</v>
      </c>
      <c r="I372" s="129">
        <v>0</v>
      </c>
      <c r="J372" s="130">
        <f t="shared" si="10"/>
        <v>1997.75</v>
      </c>
    </row>
    <row r="373" spans="2:10" ht="15" customHeight="1" x14ac:dyDescent="0.3">
      <c r="B373" s="135">
        <v>3</v>
      </c>
      <c r="E373" s="127">
        <v>1</v>
      </c>
      <c r="F373" s="128" t="s">
        <v>241</v>
      </c>
      <c r="G373" s="128" t="s">
        <v>238</v>
      </c>
      <c r="H373" s="129">
        <v>260.88</v>
      </c>
      <c r="I373" s="129">
        <v>0</v>
      </c>
      <c r="J373" s="130">
        <f t="shared" si="10"/>
        <v>260.88</v>
      </c>
    </row>
    <row r="374" spans="2:10" ht="15" customHeight="1" x14ac:dyDescent="0.3">
      <c r="B374" s="135">
        <v>3</v>
      </c>
      <c r="E374" s="127">
        <v>1</v>
      </c>
      <c r="F374" s="128" t="s">
        <v>241</v>
      </c>
      <c r="G374" s="128" t="s">
        <v>238</v>
      </c>
      <c r="H374" s="129">
        <v>342.07</v>
      </c>
      <c r="I374" s="129">
        <v>0</v>
      </c>
      <c r="J374" s="130">
        <f t="shared" si="10"/>
        <v>342.07</v>
      </c>
    </row>
    <row r="375" spans="2:10" ht="15" customHeight="1" x14ac:dyDescent="0.3">
      <c r="B375" s="135">
        <v>3</v>
      </c>
      <c r="E375" s="127">
        <v>1</v>
      </c>
      <c r="F375" s="128" t="s">
        <v>176</v>
      </c>
      <c r="G375" s="128" t="s">
        <v>256</v>
      </c>
      <c r="H375" s="129">
        <v>457.36</v>
      </c>
      <c r="I375" s="129">
        <v>0</v>
      </c>
      <c r="J375" s="130">
        <f t="shared" si="10"/>
        <v>457.36</v>
      </c>
    </row>
    <row r="376" spans="2:10" ht="15" customHeight="1" x14ac:dyDescent="0.3">
      <c r="B376" s="135">
        <v>3</v>
      </c>
      <c r="E376" s="127">
        <v>1</v>
      </c>
      <c r="F376" s="128" t="s">
        <v>176</v>
      </c>
      <c r="G376" s="128" t="s">
        <v>256</v>
      </c>
      <c r="H376" s="129">
        <v>98.54</v>
      </c>
      <c r="I376" s="129">
        <v>0</v>
      </c>
      <c r="J376" s="130">
        <f t="shared" si="10"/>
        <v>98.54</v>
      </c>
    </row>
    <row r="377" spans="2:10" ht="15" customHeight="1" x14ac:dyDescent="0.3">
      <c r="B377" s="135">
        <v>3</v>
      </c>
      <c r="E377" s="127">
        <v>1</v>
      </c>
      <c r="F377" s="128" t="s">
        <v>247</v>
      </c>
      <c r="G377" s="128" t="s">
        <v>272</v>
      </c>
      <c r="H377" s="129">
        <v>430.19</v>
      </c>
      <c r="I377" s="129">
        <v>0</v>
      </c>
      <c r="J377" s="130">
        <f t="shared" si="10"/>
        <v>430.19</v>
      </c>
    </row>
    <row r="378" spans="2:10" ht="15" customHeight="1" x14ac:dyDescent="0.3">
      <c r="B378" s="135">
        <v>3</v>
      </c>
      <c r="E378" s="127">
        <v>1</v>
      </c>
      <c r="F378" s="128" t="s">
        <v>247</v>
      </c>
      <c r="G378" s="128" t="s">
        <v>272</v>
      </c>
      <c r="H378" s="129">
        <v>104.67</v>
      </c>
      <c r="I378" s="129">
        <v>0</v>
      </c>
      <c r="J378" s="130">
        <f t="shared" si="10"/>
        <v>104.67</v>
      </c>
    </row>
    <row r="379" spans="2:10" ht="15" customHeight="1" x14ac:dyDescent="0.3">
      <c r="B379" s="135">
        <v>3</v>
      </c>
      <c r="E379" s="127">
        <v>1</v>
      </c>
      <c r="F379" s="128" t="s">
        <v>247</v>
      </c>
      <c r="G379" s="128" t="s">
        <v>272</v>
      </c>
      <c r="H379" s="129">
        <v>200.47</v>
      </c>
      <c r="I379" s="129">
        <v>0</v>
      </c>
      <c r="J379" s="130">
        <f t="shared" si="10"/>
        <v>200.47</v>
      </c>
    </row>
    <row r="380" spans="2:10" ht="15" customHeight="1" x14ac:dyDescent="0.3">
      <c r="B380" s="135">
        <v>3</v>
      </c>
      <c r="E380" s="127">
        <v>1</v>
      </c>
      <c r="F380" s="128" t="s">
        <v>247</v>
      </c>
      <c r="G380" s="128" t="s">
        <v>272</v>
      </c>
      <c r="H380" s="129">
        <v>23.6</v>
      </c>
      <c r="I380" s="129">
        <v>0</v>
      </c>
      <c r="J380" s="130">
        <f t="shared" si="10"/>
        <v>23.6</v>
      </c>
    </row>
    <row r="381" spans="2:10" ht="15" customHeight="1" x14ac:dyDescent="0.3">
      <c r="B381" s="135">
        <v>3</v>
      </c>
      <c r="E381" s="127">
        <v>1</v>
      </c>
      <c r="F381" s="128" t="s">
        <v>247</v>
      </c>
      <c r="G381" s="128" t="s">
        <v>272</v>
      </c>
      <c r="H381" s="129">
        <v>238.58</v>
      </c>
      <c r="I381" s="129">
        <v>0</v>
      </c>
      <c r="J381" s="130">
        <f t="shared" si="10"/>
        <v>238.58</v>
      </c>
    </row>
    <row r="382" spans="2:10" ht="15" customHeight="1" x14ac:dyDescent="0.3">
      <c r="B382" s="135">
        <v>3</v>
      </c>
      <c r="E382" s="127">
        <v>1</v>
      </c>
      <c r="F382" s="128" t="s">
        <v>247</v>
      </c>
      <c r="G382" s="128" t="s">
        <v>272</v>
      </c>
      <c r="H382" s="129">
        <v>112.11</v>
      </c>
      <c r="I382" s="129">
        <v>0</v>
      </c>
      <c r="J382" s="130">
        <f t="shared" si="10"/>
        <v>112.11</v>
      </c>
    </row>
    <row r="383" spans="2:10" ht="15" customHeight="1" x14ac:dyDescent="0.3">
      <c r="B383" s="135">
        <v>3</v>
      </c>
      <c r="E383" s="127">
        <v>1</v>
      </c>
      <c r="F383" s="128" t="s">
        <v>247</v>
      </c>
      <c r="G383" s="128" t="s">
        <v>272</v>
      </c>
      <c r="H383" s="129">
        <v>56.13</v>
      </c>
      <c r="I383" s="129">
        <v>0</v>
      </c>
      <c r="J383" s="130">
        <f t="shared" si="10"/>
        <v>56.13</v>
      </c>
    </row>
    <row r="384" spans="2:10" ht="15" customHeight="1" x14ac:dyDescent="0.3">
      <c r="B384" s="135">
        <v>3</v>
      </c>
      <c r="E384" s="127">
        <v>1</v>
      </c>
      <c r="F384" s="128" t="s">
        <v>247</v>
      </c>
      <c r="G384" s="128" t="s">
        <v>272</v>
      </c>
      <c r="H384" s="129">
        <v>45.4</v>
      </c>
      <c r="I384" s="129">
        <v>0</v>
      </c>
      <c r="J384" s="130">
        <f t="shared" si="10"/>
        <v>45.4</v>
      </c>
    </row>
    <row r="385" spans="2:10" ht="15" customHeight="1" x14ac:dyDescent="0.3">
      <c r="B385" s="135">
        <v>3</v>
      </c>
      <c r="E385" s="127">
        <v>1</v>
      </c>
      <c r="F385" s="128" t="s">
        <v>247</v>
      </c>
      <c r="G385" s="128" t="s">
        <v>272</v>
      </c>
      <c r="H385" s="129">
        <v>83.67</v>
      </c>
      <c r="I385" s="129">
        <v>0</v>
      </c>
      <c r="J385" s="130">
        <f t="shared" si="10"/>
        <v>83.67</v>
      </c>
    </row>
    <row r="386" spans="2:10" ht="15" customHeight="1" x14ac:dyDescent="0.3">
      <c r="B386" s="135">
        <v>3</v>
      </c>
      <c r="E386" s="127">
        <v>1</v>
      </c>
      <c r="F386" s="128" t="s">
        <v>247</v>
      </c>
      <c r="G386" s="128" t="s">
        <v>272</v>
      </c>
      <c r="H386" s="129">
        <v>207.27</v>
      </c>
      <c r="I386" s="129">
        <v>0</v>
      </c>
      <c r="J386" s="130">
        <f t="shared" si="10"/>
        <v>207.27</v>
      </c>
    </row>
    <row r="387" spans="2:10" ht="15" customHeight="1" x14ac:dyDescent="0.3">
      <c r="B387" s="135">
        <v>3</v>
      </c>
      <c r="E387" s="127">
        <v>1</v>
      </c>
      <c r="F387" s="128" t="s">
        <v>247</v>
      </c>
      <c r="G387" s="128" t="s">
        <v>272</v>
      </c>
      <c r="H387" s="129">
        <v>202.58</v>
      </c>
      <c r="I387" s="129">
        <v>0</v>
      </c>
      <c r="J387" s="130">
        <f t="shared" si="10"/>
        <v>202.58</v>
      </c>
    </row>
    <row r="388" spans="2:10" ht="15" customHeight="1" x14ac:dyDescent="0.3">
      <c r="B388" s="135">
        <v>3</v>
      </c>
      <c r="E388" s="127">
        <v>1</v>
      </c>
      <c r="F388" s="128" t="s">
        <v>247</v>
      </c>
      <c r="G388" s="128" t="s">
        <v>272</v>
      </c>
      <c r="H388" s="129">
        <v>48.84</v>
      </c>
      <c r="I388" s="129">
        <v>0</v>
      </c>
      <c r="J388" s="130">
        <f t="shared" si="10"/>
        <v>48.84</v>
      </c>
    </row>
    <row r="389" spans="2:10" ht="15" customHeight="1" x14ac:dyDescent="0.3">
      <c r="B389" s="135">
        <v>3</v>
      </c>
      <c r="E389" s="127">
        <v>1</v>
      </c>
      <c r="F389" s="128" t="s">
        <v>247</v>
      </c>
      <c r="G389" s="128" t="s">
        <v>282</v>
      </c>
      <c r="H389" s="129">
        <v>331.7</v>
      </c>
      <c r="I389" s="129">
        <v>0</v>
      </c>
      <c r="J389" s="130">
        <f>+H389-I389</f>
        <v>331.7</v>
      </c>
    </row>
    <row r="390" spans="2:10" ht="15" customHeight="1" x14ac:dyDescent="0.3">
      <c r="B390" s="135">
        <v>3</v>
      </c>
      <c r="E390" s="127">
        <v>1</v>
      </c>
      <c r="F390" s="128" t="s">
        <v>283</v>
      </c>
      <c r="G390" s="128" t="s">
        <v>284</v>
      </c>
      <c r="H390" s="129">
        <v>151.55000000000001</v>
      </c>
      <c r="I390" s="129">
        <v>0</v>
      </c>
      <c r="J390" s="130">
        <f t="shared" si="10"/>
        <v>151.55000000000001</v>
      </c>
    </row>
    <row r="391" spans="2:10" ht="15" customHeight="1" x14ac:dyDescent="0.3">
      <c r="B391" s="135">
        <v>3</v>
      </c>
      <c r="E391" s="127">
        <v>1</v>
      </c>
      <c r="F391" s="128" t="s">
        <v>285</v>
      </c>
      <c r="G391" s="128" t="s">
        <v>261</v>
      </c>
      <c r="H391" s="129">
        <v>1000</v>
      </c>
      <c r="I391" s="129">
        <v>0</v>
      </c>
      <c r="J391" s="130">
        <f t="shared" si="10"/>
        <v>1000</v>
      </c>
    </row>
    <row r="392" spans="2:10" ht="15" customHeight="1" x14ac:dyDescent="0.3">
      <c r="B392" s="135">
        <v>3</v>
      </c>
      <c r="E392" s="127">
        <v>1</v>
      </c>
      <c r="F392" s="128" t="s">
        <v>257</v>
      </c>
      <c r="G392" s="128" t="s">
        <v>258</v>
      </c>
      <c r="H392" s="129">
        <v>724.74</v>
      </c>
      <c r="I392" s="129">
        <v>0</v>
      </c>
      <c r="J392" s="130">
        <f t="shared" si="10"/>
        <v>724.74</v>
      </c>
    </row>
    <row r="393" spans="2:10" ht="15" customHeight="1" x14ac:dyDescent="0.3">
      <c r="B393" s="135">
        <v>3</v>
      </c>
      <c r="E393" s="127">
        <v>1</v>
      </c>
      <c r="F393" s="128" t="s">
        <v>257</v>
      </c>
      <c r="G393" s="128" t="s">
        <v>258</v>
      </c>
      <c r="H393" s="129">
        <v>206</v>
      </c>
      <c r="I393" s="129">
        <v>0</v>
      </c>
      <c r="J393" s="130">
        <f t="shared" si="10"/>
        <v>206</v>
      </c>
    </row>
    <row r="394" spans="2:10" ht="15" customHeight="1" x14ac:dyDescent="0.3">
      <c r="B394" s="135">
        <v>3</v>
      </c>
      <c r="E394" s="127">
        <v>1</v>
      </c>
      <c r="F394" s="128" t="s">
        <v>257</v>
      </c>
      <c r="G394" s="128" t="s">
        <v>258</v>
      </c>
      <c r="H394" s="129">
        <v>724.74</v>
      </c>
      <c r="I394" s="129">
        <v>0</v>
      </c>
      <c r="J394" s="130">
        <f t="shared" si="10"/>
        <v>724.74</v>
      </c>
    </row>
    <row r="395" spans="2:10" ht="15" customHeight="1" x14ac:dyDescent="0.3">
      <c r="B395" s="135">
        <v>3</v>
      </c>
      <c r="E395" s="127">
        <v>1</v>
      </c>
      <c r="F395" s="128" t="s">
        <v>257</v>
      </c>
      <c r="G395" s="128" t="s">
        <v>258</v>
      </c>
      <c r="H395" s="129">
        <v>1540.74</v>
      </c>
      <c r="I395" s="129">
        <v>0</v>
      </c>
      <c r="J395" s="130">
        <f t="shared" si="10"/>
        <v>1540.74</v>
      </c>
    </row>
    <row r="396" spans="2:10" ht="15" customHeight="1" x14ac:dyDescent="0.3">
      <c r="B396" s="135">
        <v>3</v>
      </c>
      <c r="E396" s="127">
        <v>1</v>
      </c>
      <c r="F396" s="128" t="s">
        <v>257</v>
      </c>
      <c r="G396" s="128" t="s">
        <v>258</v>
      </c>
      <c r="H396" s="129">
        <v>703.63</v>
      </c>
      <c r="I396" s="129">
        <v>0</v>
      </c>
      <c r="J396" s="130">
        <f t="shared" si="10"/>
        <v>703.63</v>
      </c>
    </row>
    <row r="397" spans="2:10" ht="15" customHeight="1" x14ac:dyDescent="0.3">
      <c r="B397" s="135">
        <v>3</v>
      </c>
      <c r="E397" s="127">
        <v>1</v>
      </c>
      <c r="F397" s="128" t="s">
        <v>257</v>
      </c>
      <c r="G397" s="128" t="s">
        <v>258</v>
      </c>
      <c r="H397" s="129">
        <v>703.63</v>
      </c>
      <c r="I397" s="129">
        <v>0</v>
      </c>
      <c r="J397" s="130">
        <f t="shared" si="10"/>
        <v>703.63</v>
      </c>
    </row>
    <row r="398" spans="2:10" ht="15" customHeight="1" x14ac:dyDescent="0.3">
      <c r="B398" s="135">
        <v>3</v>
      </c>
      <c r="E398" s="127">
        <v>1</v>
      </c>
      <c r="F398" s="128" t="s">
        <v>259</v>
      </c>
      <c r="G398" s="128" t="s">
        <v>260</v>
      </c>
      <c r="H398" s="129">
        <v>1665.5</v>
      </c>
      <c r="I398" s="129">
        <v>0</v>
      </c>
      <c r="J398" s="130">
        <f t="shared" si="10"/>
        <v>1665.5</v>
      </c>
    </row>
    <row r="399" spans="2:10" ht="15" customHeight="1" x14ac:dyDescent="0.3">
      <c r="B399" s="135">
        <v>3</v>
      </c>
      <c r="E399" s="127">
        <v>1</v>
      </c>
      <c r="F399" s="128" t="s">
        <v>248</v>
      </c>
      <c r="G399" s="128" t="s">
        <v>286</v>
      </c>
      <c r="H399" s="129">
        <v>10</v>
      </c>
      <c r="I399" s="129">
        <v>0</v>
      </c>
      <c r="J399" s="130">
        <f t="shared" si="10"/>
        <v>10</v>
      </c>
    </row>
    <row r="400" spans="2:10" ht="15" customHeight="1" x14ac:dyDescent="0.3">
      <c r="B400" s="135">
        <v>3</v>
      </c>
      <c r="E400" s="127">
        <v>1</v>
      </c>
      <c r="F400" s="128" t="s">
        <v>261</v>
      </c>
      <c r="G400" s="128" t="s">
        <v>287</v>
      </c>
      <c r="H400" s="129">
        <v>10000</v>
      </c>
      <c r="I400" s="129">
        <v>0</v>
      </c>
      <c r="J400" s="130">
        <f t="shared" si="10"/>
        <v>10000</v>
      </c>
    </row>
    <row r="401" spans="2:10" ht="15" customHeight="1" x14ac:dyDescent="0.3">
      <c r="B401" s="135">
        <v>3</v>
      </c>
      <c r="E401" s="127">
        <v>1</v>
      </c>
      <c r="F401" s="128" t="s">
        <v>261</v>
      </c>
      <c r="G401" s="128" t="s">
        <v>288</v>
      </c>
      <c r="H401" s="129">
        <v>10000</v>
      </c>
      <c r="I401" s="129">
        <v>0</v>
      </c>
      <c r="J401" s="130">
        <f t="shared" si="10"/>
        <v>10000</v>
      </c>
    </row>
    <row r="402" spans="2:10" ht="15" customHeight="1" x14ac:dyDescent="0.3">
      <c r="B402" s="135">
        <v>3</v>
      </c>
      <c r="E402" s="127">
        <v>1</v>
      </c>
      <c r="F402" s="128" t="s">
        <v>169</v>
      </c>
      <c r="G402" s="128" t="s">
        <v>277</v>
      </c>
      <c r="H402" s="129">
        <v>2430.5555555555547</v>
      </c>
      <c r="I402" s="129">
        <v>0</v>
      </c>
      <c r="J402" s="130">
        <f t="shared" si="10"/>
        <v>2430.5555555555547</v>
      </c>
    </row>
    <row r="403" spans="2:10" ht="15" customHeight="1" x14ac:dyDescent="0.3">
      <c r="B403" s="135">
        <v>3</v>
      </c>
      <c r="E403" s="127">
        <v>1</v>
      </c>
      <c r="F403" s="128" t="s">
        <v>172</v>
      </c>
      <c r="G403" s="128" t="s">
        <v>277</v>
      </c>
      <c r="H403" s="129">
        <v>2256.9444444444453</v>
      </c>
      <c r="I403" s="129">
        <v>0</v>
      </c>
      <c r="J403" s="130">
        <f t="shared" si="10"/>
        <v>2256.9444444444453</v>
      </c>
    </row>
    <row r="404" spans="2:10" ht="15" customHeight="1" x14ac:dyDescent="0.3">
      <c r="B404" s="135">
        <v>3</v>
      </c>
      <c r="E404" s="127">
        <v>1</v>
      </c>
      <c r="F404" s="128" t="s">
        <v>174</v>
      </c>
      <c r="G404" s="128" t="s">
        <v>237</v>
      </c>
      <c r="H404" s="129">
        <v>399.4</v>
      </c>
      <c r="I404" s="129">
        <v>0</v>
      </c>
      <c r="J404" s="130">
        <f t="shared" si="10"/>
        <v>399.4</v>
      </c>
    </row>
    <row r="405" spans="2:10" ht="15" customHeight="1" x14ac:dyDescent="0.3">
      <c r="B405" s="135">
        <v>3</v>
      </c>
      <c r="E405" s="127">
        <v>6</v>
      </c>
      <c r="F405" s="128" t="s">
        <v>292</v>
      </c>
      <c r="G405" s="128" t="s">
        <v>293</v>
      </c>
      <c r="H405" s="129">
        <v>1300</v>
      </c>
      <c r="I405" s="129">
        <v>0</v>
      </c>
      <c r="J405" s="130">
        <f t="shared" si="10"/>
        <v>1300</v>
      </c>
    </row>
    <row r="406" spans="2:10" ht="15" customHeight="1" x14ac:dyDescent="0.3">
      <c r="B406" s="135">
        <v>3</v>
      </c>
      <c r="E406" s="127">
        <v>6</v>
      </c>
      <c r="F406" s="128" t="s">
        <v>294</v>
      </c>
      <c r="G406" s="128" t="s">
        <v>154</v>
      </c>
      <c r="H406" s="129">
        <v>5000</v>
      </c>
      <c r="I406" s="129">
        <v>0</v>
      </c>
      <c r="J406" s="130">
        <f t="shared" si="10"/>
        <v>5000</v>
      </c>
    </row>
    <row r="407" spans="2:10" ht="15" customHeight="1" x14ac:dyDescent="0.3">
      <c r="B407" s="135">
        <v>3</v>
      </c>
      <c r="E407" s="127">
        <v>6</v>
      </c>
      <c r="F407" s="128" t="s">
        <v>262</v>
      </c>
      <c r="G407" s="128" t="s">
        <v>263</v>
      </c>
      <c r="H407" s="129">
        <v>3000</v>
      </c>
      <c r="I407" s="129">
        <v>0</v>
      </c>
      <c r="J407" s="130">
        <f t="shared" si="10"/>
        <v>3000</v>
      </c>
    </row>
    <row r="408" spans="2:10" ht="15" customHeight="1" x14ac:dyDescent="0.3">
      <c r="B408" s="135">
        <v>3</v>
      </c>
      <c r="E408" s="127">
        <v>6</v>
      </c>
      <c r="F408" s="128" t="s">
        <v>289</v>
      </c>
      <c r="G408" s="128" t="s">
        <v>290</v>
      </c>
      <c r="H408" s="129">
        <v>2850</v>
      </c>
      <c r="I408" s="129">
        <v>0</v>
      </c>
      <c r="J408" s="130">
        <f t="shared" si="10"/>
        <v>2850</v>
      </c>
    </row>
    <row r="409" spans="2:10" ht="15" customHeight="1" x14ac:dyDescent="0.3">
      <c r="B409" s="135">
        <v>3</v>
      </c>
      <c r="E409" s="127">
        <v>6</v>
      </c>
      <c r="F409" s="128" t="s">
        <v>253</v>
      </c>
      <c r="G409" s="128" t="s">
        <v>291</v>
      </c>
      <c r="H409" s="129">
        <v>15032</v>
      </c>
      <c r="I409" s="129">
        <v>1503.2</v>
      </c>
      <c r="J409" s="130">
        <f t="shared" si="10"/>
        <v>13528.8</v>
      </c>
    </row>
    <row r="410" spans="2:10" ht="15" customHeight="1" x14ac:dyDescent="0.3">
      <c r="B410" s="135">
        <v>3</v>
      </c>
      <c r="E410" s="127">
        <v>6</v>
      </c>
      <c r="F410" s="128" t="s">
        <v>253</v>
      </c>
      <c r="G410" s="128" t="s">
        <v>290</v>
      </c>
      <c r="H410" s="129">
        <v>32895</v>
      </c>
      <c r="I410" s="129">
        <v>3289.5</v>
      </c>
      <c r="J410" s="130">
        <f t="shared" si="10"/>
        <v>29605.5</v>
      </c>
    </row>
    <row r="411" spans="2:10" ht="15" customHeight="1" x14ac:dyDescent="0.3">
      <c r="B411" s="135">
        <v>3</v>
      </c>
      <c r="E411" s="127">
        <v>6</v>
      </c>
      <c r="F411" s="128" t="s">
        <v>264</v>
      </c>
      <c r="G411" s="128" t="s">
        <v>272</v>
      </c>
      <c r="H411" s="129">
        <v>98557.93</v>
      </c>
      <c r="I411" s="129">
        <v>0</v>
      </c>
      <c r="J411" s="130">
        <f t="shared" ref="J411:J416" si="11">+H411-I411</f>
        <v>98557.93</v>
      </c>
    </row>
    <row r="412" spans="2:10" ht="15" customHeight="1" x14ac:dyDescent="0.3">
      <c r="B412" s="135">
        <v>3</v>
      </c>
      <c r="E412" s="127">
        <v>6</v>
      </c>
      <c r="F412" s="128" t="s">
        <v>264</v>
      </c>
      <c r="G412" s="128" t="s">
        <v>272</v>
      </c>
      <c r="H412" s="129">
        <v>2753.19</v>
      </c>
      <c r="I412" s="129">
        <v>0</v>
      </c>
      <c r="J412" s="130">
        <f t="shared" si="11"/>
        <v>2753.19</v>
      </c>
    </row>
    <row r="413" spans="2:10" ht="15" customHeight="1" x14ac:dyDescent="0.3">
      <c r="B413" s="135">
        <v>3</v>
      </c>
      <c r="E413" s="127">
        <v>6</v>
      </c>
      <c r="F413" s="128" t="s">
        <v>264</v>
      </c>
      <c r="G413" s="128" t="s">
        <v>272</v>
      </c>
      <c r="H413" s="129">
        <v>723.28</v>
      </c>
      <c r="I413" s="129">
        <v>0</v>
      </c>
      <c r="J413" s="130">
        <f t="shared" si="11"/>
        <v>723.28</v>
      </c>
    </row>
    <row r="414" spans="2:10" ht="15" customHeight="1" x14ac:dyDescent="0.3">
      <c r="B414" s="135">
        <v>3</v>
      </c>
      <c r="E414" s="127">
        <v>6</v>
      </c>
      <c r="F414" s="128" t="s">
        <v>264</v>
      </c>
      <c r="G414" s="128" t="s">
        <v>272</v>
      </c>
      <c r="H414" s="129">
        <v>49749.95</v>
      </c>
      <c r="I414" s="129">
        <v>0</v>
      </c>
      <c r="J414" s="130">
        <f t="shared" si="11"/>
        <v>49749.95</v>
      </c>
    </row>
    <row r="415" spans="2:10" ht="15" customHeight="1" x14ac:dyDescent="0.3">
      <c r="B415" s="135">
        <v>3</v>
      </c>
      <c r="E415" s="127">
        <v>6</v>
      </c>
      <c r="F415" s="128" t="s">
        <v>264</v>
      </c>
      <c r="G415" s="128" t="s">
        <v>272</v>
      </c>
      <c r="H415" s="129">
        <v>6594.76</v>
      </c>
      <c r="I415" s="129">
        <v>0</v>
      </c>
      <c r="J415" s="130">
        <f t="shared" si="11"/>
        <v>6594.76</v>
      </c>
    </row>
    <row r="416" spans="2:10" ht="15" customHeight="1" x14ac:dyDescent="0.3">
      <c r="B416" s="135">
        <v>3</v>
      </c>
      <c r="E416" s="127">
        <v>6</v>
      </c>
      <c r="F416" s="128" t="s">
        <v>264</v>
      </c>
      <c r="G416" s="128" t="s">
        <v>272</v>
      </c>
      <c r="H416" s="129">
        <v>28345.61</v>
      </c>
      <c r="I416" s="129">
        <v>0</v>
      </c>
      <c r="J416" s="130">
        <f t="shared" si="11"/>
        <v>28345.61</v>
      </c>
    </row>
    <row r="417" spans="2:10" ht="15" customHeight="1" x14ac:dyDescent="0.3">
      <c r="B417" s="135">
        <v>3</v>
      </c>
      <c r="E417" s="127">
        <v>6</v>
      </c>
      <c r="F417" s="128" t="s">
        <v>264</v>
      </c>
      <c r="G417" s="128" t="s">
        <v>272</v>
      </c>
      <c r="H417" s="129">
        <v>2238.7600000000002</v>
      </c>
      <c r="I417" s="129">
        <v>0</v>
      </c>
      <c r="J417" s="130">
        <f t="shared" ref="J417:J432" si="12">+H417-I417</f>
        <v>2238.7600000000002</v>
      </c>
    </row>
    <row r="418" spans="2:10" ht="15" customHeight="1" x14ac:dyDescent="0.3">
      <c r="B418" s="135">
        <v>3</v>
      </c>
      <c r="E418" s="127">
        <v>6</v>
      </c>
      <c r="F418" s="128" t="s">
        <v>264</v>
      </c>
      <c r="G418" s="128" t="s">
        <v>272</v>
      </c>
      <c r="H418" s="129">
        <v>11690.87</v>
      </c>
      <c r="I418" s="129">
        <v>0</v>
      </c>
      <c r="J418" s="130">
        <f t="shared" si="12"/>
        <v>11690.87</v>
      </c>
    </row>
    <row r="419" spans="2:10" ht="15" customHeight="1" x14ac:dyDescent="0.3">
      <c r="B419" s="135">
        <v>3</v>
      </c>
      <c r="E419" s="127">
        <v>6</v>
      </c>
      <c r="F419" s="128" t="s">
        <v>264</v>
      </c>
      <c r="G419" s="128" t="s">
        <v>272</v>
      </c>
      <c r="H419" s="129">
        <v>37265.279999999999</v>
      </c>
      <c r="I419" s="129">
        <v>0</v>
      </c>
      <c r="J419" s="130">
        <f t="shared" si="12"/>
        <v>37265.279999999999</v>
      </c>
    </row>
    <row r="420" spans="2:10" ht="15" customHeight="1" x14ac:dyDescent="0.3">
      <c r="B420" s="135">
        <v>3</v>
      </c>
      <c r="E420" s="127">
        <v>6</v>
      </c>
      <c r="F420" s="128" t="s">
        <v>264</v>
      </c>
      <c r="G420" s="128" t="s">
        <v>272</v>
      </c>
      <c r="H420" s="129">
        <v>405.67</v>
      </c>
      <c r="I420" s="129">
        <v>0</v>
      </c>
      <c r="J420" s="130">
        <f t="shared" si="12"/>
        <v>405.67</v>
      </c>
    </row>
    <row r="421" spans="2:10" ht="15" customHeight="1" x14ac:dyDescent="0.3">
      <c r="B421" s="135">
        <v>3</v>
      </c>
      <c r="E421" s="127">
        <v>6</v>
      </c>
      <c r="F421" s="128" t="s">
        <v>264</v>
      </c>
      <c r="G421" s="128" t="s">
        <v>272</v>
      </c>
      <c r="H421" s="129">
        <v>63</v>
      </c>
      <c r="I421" s="129">
        <v>0</v>
      </c>
      <c r="J421" s="130">
        <f t="shared" si="12"/>
        <v>63</v>
      </c>
    </row>
    <row r="422" spans="2:10" ht="15" customHeight="1" x14ac:dyDescent="0.3">
      <c r="B422" s="135">
        <v>3</v>
      </c>
      <c r="E422" s="127">
        <v>6</v>
      </c>
      <c r="F422" s="128" t="s">
        <v>264</v>
      </c>
      <c r="G422" s="128" t="s">
        <v>295</v>
      </c>
      <c r="H422" s="129">
        <v>453.76</v>
      </c>
      <c r="I422" s="129">
        <v>0</v>
      </c>
      <c r="J422" s="130">
        <f t="shared" si="12"/>
        <v>453.76</v>
      </c>
    </row>
    <row r="423" spans="2:10" ht="15" customHeight="1" x14ac:dyDescent="0.3">
      <c r="B423" s="135">
        <v>3</v>
      </c>
      <c r="E423" s="127">
        <v>6</v>
      </c>
      <c r="F423" s="128" t="s">
        <v>265</v>
      </c>
      <c r="G423" s="128" t="s">
        <v>266</v>
      </c>
      <c r="H423" s="129">
        <v>49299.87</v>
      </c>
      <c r="I423" s="129">
        <v>0</v>
      </c>
      <c r="J423" s="130">
        <f t="shared" si="12"/>
        <v>49299.87</v>
      </c>
    </row>
    <row r="424" spans="2:10" ht="15" customHeight="1" x14ac:dyDescent="0.3">
      <c r="B424" s="135">
        <v>3</v>
      </c>
      <c r="E424" s="127">
        <v>8</v>
      </c>
      <c r="F424" s="128" t="s">
        <v>296</v>
      </c>
      <c r="G424" s="128" t="s">
        <v>297</v>
      </c>
      <c r="H424" s="129">
        <v>34534.210000000006</v>
      </c>
      <c r="I424" s="129">
        <v>0</v>
      </c>
      <c r="J424" s="130">
        <f t="shared" si="12"/>
        <v>34534.210000000006</v>
      </c>
    </row>
    <row r="425" spans="2:10" ht="15" customHeight="1" x14ac:dyDescent="0.3">
      <c r="B425" s="135">
        <v>3</v>
      </c>
      <c r="E425" s="127">
        <v>13</v>
      </c>
      <c r="F425" s="128" t="s">
        <v>269</v>
      </c>
      <c r="G425" s="128" t="s">
        <v>270</v>
      </c>
      <c r="H425" s="129">
        <v>3748</v>
      </c>
      <c r="I425" s="129">
        <v>3748</v>
      </c>
      <c r="J425" s="130">
        <f t="shared" si="12"/>
        <v>0</v>
      </c>
    </row>
    <row r="426" spans="2:10" ht="15" customHeight="1" x14ac:dyDescent="0.3">
      <c r="B426" s="135">
        <v>3</v>
      </c>
      <c r="E426" s="127">
        <v>15</v>
      </c>
      <c r="F426" s="128" t="s">
        <v>271</v>
      </c>
      <c r="G426" s="128" t="s">
        <v>272</v>
      </c>
      <c r="H426" s="129">
        <v>70.63</v>
      </c>
      <c r="I426" s="129">
        <v>0</v>
      </c>
      <c r="J426" s="130">
        <f t="shared" si="12"/>
        <v>70.63</v>
      </c>
    </row>
    <row r="427" spans="2:10" ht="15" customHeight="1" x14ac:dyDescent="0.3">
      <c r="B427" s="135">
        <v>3</v>
      </c>
      <c r="E427" s="127">
        <v>15</v>
      </c>
      <c r="F427" s="128" t="s">
        <v>271</v>
      </c>
      <c r="G427" s="128" t="s">
        <v>272</v>
      </c>
      <c r="H427" s="129">
        <v>90.95</v>
      </c>
      <c r="I427" s="129">
        <v>0</v>
      </c>
      <c r="J427" s="130">
        <f t="shared" si="12"/>
        <v>90.95</v>
      </c>
    </row>
    <row r="428" spans="2:10" ht="15" customHeight="1" x14ac:dyDescent="0.3">
      <c r="B428" s="135">
        <v>3</v>
      </c>
      <c r="E428" s="127">
        <v>15</v>
      </c>
      <c r="F428" s="128" t="s">
        <v>271</v>
      </c>
      <c r="G428" s="128" t="s">
        <v>272</v>
      </c>
      <c r="H428" s="129">
        <v>12.89</v>
      </c>
      <c r="I428" s="129">
        <v>0</v>
      </c>
      <c r="J428" s="130">
        <f t="shared" si="12"/>
        <v>12.89</v>
      </c>
    </row>
    <row r="429" spans="2:10" ht="15" customHeight="1" x14ac:dyDescent="0.3">
      <c r="B429" s="135">
        <v>3</v>
      </c>
      <c r="E429" s="127">
        <v>15</v>
      </c>
      <c r="F429" s="128" t="s">
        <v>271</v>
      </c>
      <c r="G429" s="128" t="s">
        <v>272</v>
      </c>
      <c r="H429" s="129">
        <v>204.02</v>
      </c>
      <c r="I429" s="129">
        <v>0</v>
      </c>
      <c r="J429" s="130">
        <f t="shared" si="12"/>
        <v>204.02</v>
      </c>
    </row>
    <row r="430" spans="2:10" ht="15" customHeight="1" x14ac:dyDescent="0.3">
      <c r="B430" s="135">
        <v>3</v>
      </c>
      <c r="E430" s="127">
        <v>15</v>
      </c>
      <c r="F430" s="128" t="s">
        <v>271</v>
      </c>
      <c r="G430" s="128" t="s">
        <v>272</v>
      </c>
      <c r="H430" s="129">
        <v>106.81</v>
      </c>
      <c r="I430" s="129">
        <v>0</v>
      </c>
      <c r="J430" s="130">
        <f t="shared" si="12"/>
        <v>106.81</v>
      </c>
    </row>
    <row r="431" spans="2:10" ht="15" customHeight="1" x14ac:dyDescent="0.3">
      <c r="B431" s="135">
        <v>3</v>
      </c>
      <c r="E431" s="127">
        <v>16</v>
      </c>
      <c r="F431" s="128" t="s">
        <v>273</v>
      </c>
      <c r="G431" s="128" t="s">
        <v>274</v>
      </c>
      <c r="H431" s="129">
        <v>701.45999999999913</v>
      </c>
      <c r="I431" s="129">
        <v>0</v>
      </c>
      <c r="J431" s="130">
        <f t="shared" si="12"/>
        <v>701.45999999999913</v>
      </c>
    </row>
    <row r="432" spans="2:10" ht="15" customHeight="1" x14ac:dyDescent="0.3">
      <c r="B432" s="135">
        <v>3</v>
      </c>
      <c r="E432" s="127">
        <v>16</v>
      </c>
      <c r="F432" s="128" t="s">
        <v>275</v>
      </c>
      <c r="G432" s="128" t="s">
        <v>298</v>
      </c>
      <c r="H432" s="129">
        <v>2269.2699999999995</v>
      </c>
      <c r="I432" s="129">
        <v>0</v>
      </c>
      <c r="J432" s="130">
        <f t="shared" si="12"/>
        <v>2269.2699999999995</v>
      </c>
    </row>
    <row r="433" spans="2:10" ht="15" customHeight="1" x14ac:dyDescent="0.3">
      <c r="B433" s="135">
        <v>3</v>
      </c>
      <c r="E433" s="127">
        <v>17</v>
      </c>
      <c r="F433" s="128" t="s">
        <v>4</v>
      </c>
      <c r="G433" s="128" t="s">
        <v>276</v>
      </c>
      <c r="H433" s="129">
        <v>573.02999999999884</v>
      </c>
      <c r="I433" s="129">
        <v>0</v>
      </c>
      <c r="J433" s="130">
        <f t="shared" si="10"/>
        <v>573.02999999999884</v>
      </c>
    </row>
    <row r="434" spans="2:10" ht="15" customHeight="1" x14ac:dyDescent="0.3">
      <c r="B434" s="135">
        <v>3</v>
      </c>
      <c r="E434" s="127">
        <v>18</v>
      </c>
      <c r="F434" s="128" t="s">
        <v>6</v>
      </c>
      <c r="G434" s="128" t="s">
        <v>277</v>
      </c>
      <c r="H434" s="129">
        <v>10416.666666666672</v>
      </c>
      <c r="I434" s="129">
        <v>1041.6666666666672</v>
      </c>
      <c r="J434" s="130">
        <f t="shared" si="10"/>
        <v>9375.0000000000036</v>
      </c>
    </row>
    <row r="435" spans="2:10" ht="15" customHeight="1" x14ac:dyDescent="0.3">
      <c r="B435" s="135">
        <v>3</v>
      </c>
      <c r="E435" s="127">
        <v>6</v>
      </c>
      <c r="F435" s="128" t="s">
        <v>265</v>
      </c>
      <c r="G435" s="128" t="s">
        <v>266</v>
      </c>
      <c r="H435" s="129">
        <v>48189.65</v>
      </c>
      <c r="I435" s="129">
        <v>0</v>
      </c>
      <c r="J435" s="130">
        <f t="shared" ref="J435:J436" si="13">+H435-I435</f>
        <v>48189.65</v>
      </c>
    </row>
    <row r="436" spans="2:10" ht="15" customHeight="1" x14ac:dyDescent="0.3">
      <c r="B436" s="135">
        <v>3</v>
      </c>
      <c r="E436" s="127">
        <v>6</v>
      </c>
      <c r="F436" s="128" t="s">
        <v>265</v>
      </c>
      <c r="G436" s="128" t="s">
        <v>266</v>
      </c>
      <c r="H436" s="129">
        <v>48189.65</v>
      </c>
      <c r="I436" s="129">
        <v>0</v>
      </c>
      <c r="J436" s="130">
        <f t="shared" si="13"/>
        <v>48189.65</v>
      </c>
    </row>
    <row r="437" spans="2:10" ht="15" customHeight="1" x14ac:dyDescent="0.3">
      <c r="B437" s="135">
        <v>3</v>
      </c>
      <c r="E437" s="127">
        <v>6</v>
      </c>
      <c r="F437" s="128" t="s">
        <v>267</v>
      </c>
      <c r="G437" s="128" t="s">
        <v>268</v>
      </c>
      <c r="H437" s="129">
        <v>7083.6200000000008</v>
      </c>
      <c r="I437" s="129">
        <v>0</v>
      </c>
      <c r="J437" s="130">
        <f>+H437-I437</f>
        <v>7083.6200000000008</v>
      </c>
    </row>
    <row r="438" spans="2:10" ht="15" customHeight="1" x14ac:dyDescent="0.3">
      <c r="B438" s="135">
        <v>4</v>
      </c>
      <c r="E438" s="127">
        <v>1</v>
      </c>
      <c r="F438" s="128" t="s">
        <v>261</v>
      </c>
      <c r="G438" s="128" t="s">
        <v>301</v>
      </c>
      <c r="H438" s="129">
        <v>10000</v>
      </c>
      <c r="I438" s="129">
        <v>0</v>
      </c>
      <c r="J438" s="130">
        <f t="shared" ref="J438:J500" si="14">+H438-I438</f>
        <v>10000</v>
      </c>
    </row>
    <row r="439" spans="2:10" ht="15" customHeight="1" x14ac:dyDescent="0.3">
      <c r="B439" s="135">
        <v>4</v>
      </c>
      <c r="E439" s="127">
        <v>1</v>
      </c>
      <c r="F439" s="128" t="s">
        <v>169</v>
      </c>
      <c r="G439" s="128" t="s">
        <v>302</v>
      </c>
      <c r="H439" s="129">
        <v>3888.8888888888887</v>
      </c>
      <c r="I439" s="129">
        <v>0</v>
      </c>
      <c r="J439" s="130">
        <f t="shared" si="14"/>
        <v>3888.8888888888887</v>
      </c>
    </row>
    <row r="440" spans="2:10" ht="15" customHeight="1" x14ac:dyDescent="0.3">
      <c r="B440" s="135">
        <v>4</v>
      </c>
      <c r="E440" s="127">
        <v>1</v>
      </c>
      <c r="F440" s="128" t="s">
        <v>172</v>
      </c>
      <c r="G440" s="128" t="s">
        <v>302</v>
      </c>
      <c r="H440" s="129">
        <v>3611.1111111111113</v>
      </c>
      <c r="I440" s="129">
        <v>0</v>
      </c>
      <c r="J440" s="130">
        <f t="shared" si="14"/>
        <v>3611.1111111111113</v>
      </c>
    </row>
    <row r="441" spans="2:10" ht="15" customHeight="1" x14ac:dyDescent="0.3">
      <c r="B441" s="135">
        <v>4</v>
      </c>
      <c r="E441" s="127">
        <v>1</v>
      </c>
      <c r="F441" s="128" t="s">
        <v>169</v>
      </c>
      <c r="G441" s="128" t="s">
        <v>303</v>
      </c>
      <c r="H441" s="129">
        <v>3888.8888888888887</v>
      </c>
      <c r="I441" s="129">
        <v>0</v>
      </c>
      <c r="J441" s="130">
        <f t="shared" si="14"/>
        <v>3888.8888888888887</v>
      </c>
    </row>
    <row r="442" spans="2:10" ht="15" customHeight="1" x14ac:dyDescent="0.3">
      <c r="B442" s="135">
        <v>4</v>
      </c>
      <c r="E442" s="127">
        <v>1</v>
      </c>
      <c r="F442" s="128" t="s">
        <v>172</v>
      </c>
      <c r="G442" s="128" t="s">
        <v>303</v>
      </c>
      <c r="H442" s="129">
        <v>3611.1111111111113</v>
      </c>
      <c r="I442" s="129">
        <v>0</v>
      </c>
      <c r="J442" s="130">
        <f t="shared" si="14"/>
        <v>3611.1111111111113</v>
      </c>
    </row>
    <row r="443" spans="2:10" ht="15" customHeight="1" x14ac:dyDescent="0.3">
      <c r="B443" s="135">
        <v>4</v>
      </c>
      <c r="E443" s="127">
        <v>1</v>
      </c>
      <c r="F443" s="128" t="s">
        <v>254</v>
      </c>
      <c r="G443" s="128" t="s">
        <v>278</v>
      </c>
      <c r="H443" s="129">
        <v>1500</v>
      </c>
      <c r="I443" s="129">
        <v>0</v>
      </c>
      <c r="J443" s="130">
        <f t="shared" si="14"/>
        <v>1500</v>
      </c>
    </row>
    <row r="444" spans="2:10" ht="15" customHeight="1" x14ac:dyDescent="0.3">
      <c r="B444" s="135">
        <v>4</v>
      </c>
      <c r="E444" s="127">
        <v>1</v>
      </c>
      <c r="F444" s="128" t="s">
        <v>254</v>
      </c>
      <c r="G444" s="128" t="s">
        <v>278</v>
      </c>
      <c r="H444" s="129">
        <v>1500</v>
      </c>
      <c r="I444" s="129">
        <v>0</v>
      </c>
      <c r="J444" s="130">
        <f t="shared" si="14"/>
        <v>1500</v>
      </c>
    </row>
    <row r="445" spans="2:10" ht="15" customHeight="1" x14ac:dyDescent="0.3">
      <c r="B445" s="135">
        <v>4</v>
      </c>
      <c r="E445" s="127">
        <v>1</v>
      </c>
      <c r="F445" s="128" t="s">
        <v>174</v>
      </c>
      <c r="G445" s="128" t="s">
        <v>304</v>
      </c>
      <c r="H445" s="129">
        <v>5.54</v>
      </c>
      <c r="I445" s="129">
        <v>0</v>
      </c>
      <c r="J445" s="130">
        <f t="shared" si="14"/>
        <v>5.54</v>
      </c>
    </row>
    <row r="446" spans="2:10" ht="15" customHeight="1" x14ac:dyDescent="0.3">
      <c r="B446" s="135">
        <v>4</v>
      </c>
      <c r="E446" s="127">
        <v>1</v>
      </c>
      <c r="F446" s="128" t="s">
        <v>174</v>
      </c>
      <c r="G446" s="128" t="s">
        <v>304</v>
      </c>
      <c r="H446" s="129">
        <v>20.5</v>
      </c>
      <c r="I446" s="129">
        <v>0</v>
      </c>
      <c r="J446" s="130">
        <f t="shared" si="14"/>
        <v>20.5</v>
      </c>
    </row>
    <row r="447" spans="2:10" ht="15" customHeight="1" x14ac:dyDescent="0.3">
      <c r="B447" s="135">
        <v>4</v>
      </c>
      <c r="E447" s="127">
        <v>1</v>
      </c>
      <c r="F447" s="128" t="s">
        <v>305</v>
      </c>
      <c r="G447" s="128" t="s">
        <v>306</v>
      </c>
      <c r="H447" s="129">
        <v>380</v>
      </c>
      <c r="I447" s="129">
        <v>0</v>
      </c>
      <c r="J447" s="130">
        <f t="shared" si="14"/>
        <v>380</v>
      </c>
    </row>
    <row r="448" spans="2:10" ht="15" customHeight="1" x14ac:dyDescent="0.3">
      <c r="B448" s="135">
        <v>4</v>
      </c>
      <c r="E448" s="127">
        <v>1</v>
      </c>
      <c r="F448" s="128" t="s">
        <v>305</v>
      </c>
      <c r="G448" s="128" t="s">
        <v>306</v>
      </c>
      <c r="H448" s="129">
        <v>950</v>
      </c>
      <c r="I448" s="129">
        <v>0</v>
      </c>
      <c r="J448" s="130">
        <f t="shared" si="14"/>
        <v>950</v>
      </c>
    </row>
    <row r="449" spans="2:10" ht="15" customHeight="1" x14ac:dyDescent="0.3">
      <c r="B449" s="135">
        <v>4</v>
      </c>
      <c r="E449" s="127">
        <v>1</v>
      </c>
      <c r="F449" s="128" t="s">
        <v>305</v>
      </c>
      <c r="G449" s="128" t="s">
        <v>306</v>
      </c>
      <c r="H449" s="129">
        <v>370</v>
      </c>
      <c r="I449" s="129">
        <v>0</v>
      </c>
      <c r="J449" s="130">
        <f t="shared" si="14"/>
        <v>370</v>
      </c>
    </row>
    <row r="450" spans="2:10" ht="15" customHeight="1" x14ac:dyDescent="0.3">
      <c r="B450" s="135">
        <v>4</v>
      </c>
      <c r="E450" s="127">
        <v>1</v>
      </c>
      <c r="F450" s="128" t="s">
        <v>305</v>
      </c>
      <c r="G450" s="128" t="s">
        <v>306</v>
      </c>
      <c r="H450" s="129">
        <v>475</v>
      </c>
      <c r="I450" s="129">
        <v>0</v>
      </c>
      <c r="J450" s="130">
        <f t="shared" si="14"/>
        <v>475</v>
      </c>
    </row>
    <row r="451" spans="2:10" ht="15" customHeight="1" x14ac:dyDescent="0.3">
      <c r="B451" s="135">
        <v>4</v>
      </c>
      <c r="E451" s="127">
        <v>1</v>
      </c>
      <c r="F451" s="128" t="s">
        <v>305</v>
      </c>
      <c r="G451" s="128" t="s">
        <v>306</v>
      </c>
      <c r="H451" s="129">
        <v>807.5</v>
      </c>
      <c r="I451" s="129">
        <v>0</v>
      </c>
      <c r="J451" s="130">
        <f t="shared" si="14"/>
        <v>807.5</v>
      </c>
    </row>
    <row r="452" spans="2:10" ht="15" customHeight="1" x14ac:dyDescent="0.3">
      <c r="B452" s="135">
        <v>4</v>
      </c>
      <c r="E452" s="127">
        <v>1</v>
      </c>
      <c r="F452" s="128" t="s">
        <v>257</v>
      </c>
      <c r="G452" s="128" t="s">
        <v>258</v>
      </c>
      <c r="H452" s="129">
        <v>807.19</v>
      </c>
      <c r="I452" s="129">
        <v>0</v>
      </c>
      <c r="J452" s="130">
        <f t="shared" si="14"/>
        <v>807.19</v>
      </c>
    </row>
    <row r="453" spans="2:10" ht="15" customHeight="1" x14ac:dyDescent="0.3">
      <c r="B453" s="135">
        <v>4</v>
      </c>
      <c r="E453" s="127">
        <v>1</v>
      </c>
      <c r="F453" s="128" t="s">
        <v>257</v>
      </c>
      <c r="G453" s="128" t="s">
        <v>258</v>
      </c>
      <c r="H453" s="129">
        <v>990.11</v>
      </c>
      <c r="I453" s="129">
        <v>0</v>
      </c>
      <c r="J453" s="130">
        <f t="shared" si="14"/>
        <v>990.11</v>
      </c>
    </row>
    <row r="454" spans="2:10" ht="15" customHeight="1" x14ac:dyDescent="0.3">
      <c r="B454" s="135">
        <v>4</v>
      </c>
      <c r="E454" s="127">
        <v>1</v>
      </c>
      <c r="F454" s="128" t="s">
        <v>257</v>
      </c>
      <c r="G454" s="128" t="s">
        <v>258</v>
      </c>
      <c r="H454" s="129">
        <v>811.93</v>
      </c>
      <c r="I454" s="129">
        <v>0</v>
      </c>
      <c r="J454" s="130">
        <f t="shared" si="14"/>
        <v>811.93</v>
      </c>
    </row>
    <row r="455" spans="2:10" ht="15" customHeight="1" x14ac:dyDescent="0.3">
      <c r="B455" s="135">
        <v>4</v>
      </c>
      <c r="E455" s="127">
        <v>1</v>
      </c>
      <c r="F455" s="128" t="s">
        <v>259</v>
      </c>
      <c r="G455" s="128" t="s">
        <v>260</v>
      </c>
      <c r="H455" s="129">
        <v>1515.5</v>
      </c>
      <c r="I455" s="129">
        <v>0</v>
      </c>
      <c r="J455" s="130">
        <f t="shared" si="14"/>
        <v>1515.5</v>
      </c>
    </row>
    <row r="456" spans="2:10" ht="15" customHeight="1" x14ac:dyDescent="0.3">
      <c r="B456" s="135">
        <v>4</v>
      </c>
      <c r="E456" s="127">
        <v>1</v>
      </c>
      <c r="F456" s="128" t="s">
        <v>279</v>
      </c>
      <c r="G456" s="128" t="s">
        <v>255</v>
      </c>
      <c r="H456" s="129">
        <v>150.74</v>
      </c>
      <c r="I456" s="129">
        <v>0</v>
      </c>
      <c r="J456" s="130">
        <f t="shared" si="14"/>
        <v>150.74</v>
      </c>
    </row>
    <row r="457" spans="2:10" ht="15" customHeight="1" x14ac:dyDescent="0.3">
      <c r="B457" s="135">
        <v>4</v>
      </c>
      <c r="E457" s="127">
        <v>1</v>
      </c>
      <c r="F457" s="128" t="s">
        <v>279</v>
      </c>
      <c r="G457" s="128" t="s">
        <v>255</v>
      </c>
      <c r="H457" s="129">
        <v>150.74</v>
      </c>
      <c r="I457" s="129">
        <v>0</v>
      </c>
      <c r="J457" s="130">
        <f t="shared" si="14"/>
        <v>150.74</v>
      </c>
    </row>
    <row r="458" spans="2:10" ht="15" customHeight="1" x14ac:dyDescent="0.3">
      <c r="B458" s="135">
        <v>4</v>
      </c>
      <c r="E458" s="127">
        <v>1</v>
      </c>
      <c r="F458" s="128" t="s">
        <v>280</v>
      </c>
      <c r="G458" s="128" t="s">
        <v>255</v>
      </c>
      <c r="H458" s="129">
        <v>817.83</v>
      </c>
      <c r="I458" s="129">
        <v>0</v>
      </c>
      <c r="J458" s="130">
        <f t="shared" si="14"/>
        <v>817.83</v>
      </c>
    </row>
    <row r="459" spans="2:10" ht="15" customHeight="1" x14ac:dyDescent="0.3">
      <c r="B459" s="135">
        <v>4</v>
      </c>
      <c r="E459" s="127">
        <v>1</v>
      </c>
      <c r="F459" s="128" t="s">
        <v>241</v>
      </c>
      <c r="G459" s="128" t="s">
        <v>238</v>
      </c>
      <c r="H459" s="129">
        <v>260.88</v>
      </c>
      <c r="I459" s="129">
        <v>0</v>
      </c>
      <c r="J459" s="130">
        <f t="shared" si="14"/>
        <v>260.88</v>
      </c>
    </row>
    <row r="460" spans="2:10" ht="15" customHeight="1" x14ac:dyDescent="0.3">
      <c r="B460" s="135">
        <v>4</v>
      </c>
      <c r="E460" s="127">
        <v>1</v>
      </c>
      <c r="F460" s="128" t="s">
        <v>247</v>
      </c>
      <c r="G460" s="128" t="s">
        <v>272</v>
      </c>
      <c r="H460" s="129">
        <v>71.87</v>
      </c>
      <c r="I460" s="129">
        <v>0</v>
      </c>
      <c r="J460" s="130">
        <f t="shared" si="14"/>
        <v>71.87</v>
      </c>
    </row>
    <row r="461" spans="2:10" ht="15" customHeight="1" x14ac:dyDescent="0.3">
      <c r="B461" s="135">
        <v>4</v>
      </c>
      <c r="E461" s="127">
        <v>1</v>
      </c>
      <c r="F461" s="128" t="s">
        <v>247</v>
      </c>
      <c r="G461" s="128" t="s">
        <v>272</v>
      </c>
      <c r="H461" s="129">
        <v>115.41</v>
      </c>
      <c r="I461" s="129">
        <v>0</v>
      </c>
      <c r="J461" s="130">
        <f t="shared" si="14"/>
        <v>115.41</v>
      </c>
    </row>
    <row r="462" spans="2:10" ht="15" customHeight="1" x14ac:dyDescent="0.3">
      <c r="B462" s="135">
        <v>4</v>
      </c>
      <c r="E462" s="127">
        <v>1</v>
      </c>
      <c r="F462" s="128" t="s">
        <v>307</v>
      </c>
      <c r="G462" s="128" t="s">
        <v>308</v>
      </c>
      <c r="H462" s="129">
        <v>6502.6</v>
      </c>
      <c r="I462" s="129">
        <v>0</v>
      </c>
      <c r="J462" s="130">
        <f t="shared" si="14"/>
        <v>6502.6</v>
      </c>
    </row>
    <row r="463" spans="2:10" ht="15" customHeight="1" x14ac:dyDescent="0.3">
      <c r="B463" s="135">
        <v>4</v>
      </c>
      <c r="E463" s="127">
        <v>1</v>
      </c>
      <c r="F463" s="128" t="s">
        <v>248</v>
      </c>
      <c r="G463" s="128" t="s">
        <v>286</v>
      </c>
      <c r="H463" s="129">
        <v>10</v>
      </c>
      <c r="I463" s="129">
        <v>0</v>
      </c>
      <c r="J463" s="130">
        <f t="shared" si="14"/>
        <v>10</v>
      </c>
    </row>
    <row r="464" spans="2:10" ht="15" customHeight="1" x14ac:dyDescent="0.3">
      <c r="B464" s="135">
        <v>4</v>
      </c>
      <c r="E464" s="127">
        <v>3</v>
      </c>
      <c r="F464" s="128" t="s">
        <v>311</v>
      </c>
      <c r="G464" s="128" t="s">
        <v>312</v>
      </c>
      <c r="H464" s="129">
        <v>31000</v>
      </c>
      <c r="I464" s="129">
        <v>15000</v>
      </c>
      <c r="J464" s="130">
        <f t="shared" si="14"/>
        <v>16000</v>
      </c>
    </row>
    <row r="465" spans="2:10" ht="15" customHeight="1" x14ac:dyDescent="0.3">
      <c r="B465" s="135">
        <v>4</v>
      </c>
      <c r="E465" s="127">
        <v>3</v>
      </c>
      <c r="F465" s="128" t="s">
        <v>313</v>
      </c>
      <c r="G465" s="128" t="s">
        <v>272</v>
      </c>
      <c r="H465" s="129">
        <v>91.84</v>
      </c>
      <c r="I465" s="129">
        <v>0</v>
      </c>
      <c r="J465" s="130">
        <f t="shared" si="14"/>
        <v>91.84</v>
      </c>
    </row>
    <row r="466" spans="2:10" ht="15" customHeight="1" x14ac:dyDescent="0.3">
      <c r="B466" s="135">
        <v>4</v>
      </c>
      <c r="E466" s="127">
        <v>3</v>
      </c>
      <c r="F466" s="128" t="s">
        <v>313</v>
      </c>
      <c r="G466" s="128" t="s">
        <v>272</v>
      </c>
      <c r="H466" s="129">
        <v>183.55</v>
      </c>
      <c r="I466" s="129">
        <v>0</v>
      </c>
      <c r="J466" s="130">
        <f t="shared" si="14"/>
        <v>183.55</v>
      </c>
    </row>
    <row r="467" spans="2:10" ht="15" customHeight="1" x14ac:dyDescent="0.3">
      <c r="B467" s="135">
        <v>4</v>
      </c>
      <c r="E467" s="127">
        <v>3</v>
      </c>
      <c r="F467" s="128" t="s">
        <v>314</v>
      </c>
      <c r="G467" s="128" t="s">
        <v>315</v>
      </c>
      <c r="H467" s="129">
        <v>621.36</v>
      </c>
      <c r="I467" s="129">
        <v>0</v>
      </c>
      <c r="J467" s="130">
        <f t="shared" si="14"/>
        <v>621.36</v>
      </c>
    </row>
    <row r="468" spans="2:10" ht="15" customHeight="1" x14ac:dyDescent="0.3">
      <c r="B468" s="135">
        <v>4</v>
      </c>
      <c r="E468" s="127">
        <v>3</v>
      </c>
      <c r="F468" s="128" t="s">
        <v>313</v>
      </c>
      <c r="G468" s="128" t="s">
        <v>272</v>
      </c>
      <c r="H468" s="129">
        <v>70.22</v>
      </c>
      <c r="I468" s="129">
        <v>0</v>
      </c>
      <c r="J468" s="130">
        <f t="shared" si="14"/>
        <v>70.22</v>
      </c>
    </row>
    <row r="469" spans="2:10" ht="15" customHeight="1" x14ac:dyDescent="0.3">
      <c r="B469" s="135">
        <v>4</v>
      </c>
      <c r="E469" s="127">
        <v>3</v>
      </c>
      <c r="F469" s="128" t="s">
        <v>316</v>
      </c>
      <c r="G469" s="128" t="s">
        <v>2</v>
      </c>
      <c r="H469" s="129">
        <v>700</v>
      </c>
      <c r="I469" s="129">
        <v>0</v>
      </c>
      <c r="J469" s="130">
        <f t="shared" si="14"/>
        <v>700</v>
      </c>
    </row>
    <row r="470" spans="2:10" ht="15" customHeight="1" x14ac:dyDescent="0.3">
      <c r="B470" s="135">
        <v>4</v>
      </c>
      <c r="E470" s="127">
        <v>3</v>
      </c>
      <c r="F470" s="128" t="s">
        <v>317</v>
      </c>
      <c r="G470" s="128" t="s">
        <v>318</v>
      </c>
      <c r="H470" s="129">
        <v>5412.5</v>
      </c>
      <c r="I470" s="129">
        <v>0</v>
      </c>
      <c r="J470" s="130">
        <f t="shared" si="14"/>
        <v>5412.5</v>
      </c>
    </row>
    <row r="471" spans="2:10" ht="15" customHeight="1" x14ac:dyDescent="0.3">
      <c r="B471" s="135">
        <v>4</v>
      </c>
      <c r="E471" s="127">
        <v>3</v>
      </c>
      <c r="F471" s="128" t="s">
        <v>319</v>
      </c>
      <c r="G471" s="128" t="s">
        <v>320</v>
      </c>
      <c r="H471" s="129">
        <v>13080</v>
      </c>
      <c r="I471" s="129">
        <v>0</v>
      </c>
      <c r="J471" s="130">
        <f t="shared" si="14"/>
        <v>13080</v>
      </c>
    </row>
    <row r="472" spans="2:10" ht="15" customHeight="1" x14ac:dyDescent="0.3">
      <c r="B472" s="135">
        <v>4</v>
      </c>
      <c r="E472" s="127">
        <v>6</v>
      </c>
      <c r="F472" s="128" t="s">
        <v>264</v>
      </c>
      <c r="G472" s="128" t="s">
        <v>272</v>
      </c>
      <c r="H472" s="129">
        <v>21398.51</v>
      </c>
      <c r="I472" s="129">
        <v>0</v>
      </c>
      <c r="J472" s="130">
        <f t="shared" si="14"/>
        <v>21398.51</v>
      </c>
    </row>
    <row r="473" spans="2:10" ht="15" customHeight="1" x14ac:dyDescent="0.3">
      <c r="B473" s="135">
        <v>4</v>
      </c>
      <c r="E473" s="127">
        <v>6</v>
      </c>
      <c r="F473" s="128" t="s">
        <v>264</v>
      </c>
      <c r="G473" s="128" t="s">
        <v>272</v>
      </c>
      <c r="H473" s="129">
        <v>17049.669999999998</v>
      </c>
      <c r="I473" s="129">
        <v>0</v>
      </c>
      <c r="J473" s="130">
        <f t="shared" si="14"/>
        <v>17049.669999999998</v>
      </c>
    </row>
    <row r="474" spans="2:10" ht="15" customHeight="1" x14ac:dyDescent="0.3">
      <c r="B474" s="135">
        <v>4</v>
      </c>
      <c r="E474" s="127">
        <v>6</v>
      </c>
      <c r="F474" s="128" t="s">
        <v>264</v>
      </c>
      <c r="G474" s="128" t="s">
        <v>272</v>
      </c>
      <c r="H474" s="129">
        <v>52825.48</v>
      </c>
      <c r="I474" s="129">
        <v>0</v>
      </c>
      <c r="J474" s="130">
        <f t="shared" si="14"/>
        <v>52825.48</v>
      </c>
    </row>
    <row r="475" spans="2:10" ht="15" customHeight="1" x14ac:dyDescent="0.3">
      <c r="B475" s="135">
        <v>4</v>
      </c>
      <c r="E475" s="127">
        <v>6</v>
      </c>
      <c r="F475" s="128" t="s">
        <v>264</v>
      </c>
      <c r="G475" s="128" t="s">
        <v>272</v>
      </c>
      <c r="H475" s="129">
        <v>9190.86</v>
      </c>
      <c r="I475" s="129">
        <v>0</v>
      </c>
      <c r="J475" s="130">
        <f t="shared" si="14"/>
        <v>9190.86</v>
      </c>
    </row>
    <row r="476" spans="2:10" ht="15" customHeight="1" x14ac:dyDescent="0.3">
      <c r="B476" s="135">
        <v>4</v>
      </c>
      <c r="E476" s="127">
        <v>6</v>
      </c>
      <c r="F476" s="128" t="s">
        <v>264</v>
      </c>
      <c r="G476" s="128" t="s">
        <v>272</v>
      </c>
      <c r="H476" s="129">
        <v>16716.45</v>
      </c>
      <c r="I476" s="129">
        <v>0</v>
      </c>
      <c r="J476" s="130">
        <f t="shared" si="14"/>
        <v>16716.45</v>
      </c>
    </row>
    <row r="477" spans="2:10" ht="15" customHeight="1" x14ac:dyDescent="0.3">
      <c r="B477" s="135">
        <v>4</v>
      </c>
      <c r="E477" s="127">
        <v>6</v>
      </c>
      <c r="F477" s="128" t="s">
        <v>264</v>
      </c>
      <c r="G477" s="128" t="s">
        <v>272</v>
      </c>
      <c r="H477" s="129">
        <v>1436.52</v>
      </c>
      <c r="I477" s="129">
        <v>0</v>
      </c>
      <c r="J477" s="130">
        <f t="shared" si="14"/>
        <v>1436.52</v>
      </c>
    </row>
    <row r="478" spans="2:10" ht="15" customHeight="1" x14ac:dyDescent="0.3">
      <c r="B478" s="135">
        <v>4</v>
      </c>
      <c r="E478" s="127">
        <v>6</v>
      </c>
      <c r="F478" s="128" t="s">
        <v>253</v>
      </c>
      <c r="G478" s="128" t="s">
        <v>290</v>
      </c>
      <c r="H478" s="129">
        <v>23450</v>
      </c>
      <c r="I478" s="129">
        <v>0</v>
      </c>
      <c r="J478" s="130">
        <f t="shared" si="14"/>
        <v>23450</v>
      </c>
    </row>
    <row r="479" spans="2:10" ht="15" customHeight="1" x14ac:dyDescent="0.3">
      <c r="B479" s="135">
        <v>4</v>
      </c>
      <c r="E479" s="127">
        <v>6</v>
      </c>
      <c r="F479" s="128" t="s">
        <v>253</v>
      </c>
      <c r="G479" s="128" t="s">
        <v>290</v>
      </c>
      <c r="H479" s="129">
        <v>28398</v>
      </c>
      <c r="I479" s="129">
        <v>2839.8</v>
      </c>
      <c r="J479" s="130">
        <f t="shared" si="14"/>
        <v>25558.2</v>
      </c>
    </row>
    <row r="480" spans="2:10" ht="15" customHeight="1" x14ac:dyDescent="0.3">
      <c r="B480" s="135">
        <v>4</v>
      </c>
      <c r="E480" s="127">
        <v>6</v>
      </c>
      <c r="F480" s="128" t="s">
        <v>253</v>
      </c>
      <c r="G480" s="128" t="s">
        <v>290</v>
      </c>
      <c r="H480" s="129">
        <v>26250</v>
      </c>
      <c r="I480" s="129">
        <v>4970</v>
      </c>
      <c r="J480" s="130">
        <f t="shared" si="14"/>
        <v>21280</v>
      </c>
    </row>
    <row r="481" spans="2:10" ht="15" customHeight="1" x14ac:dyDescent="0.3">
      <c r="B481" s="135">
        <v>4</v>
      </c>
      <c r="E481" s="127">
        <v>6</v>
      </c>
      <c r="F481" s="128" t="s">
        <v>253</v>
      </c>
      <c r="G481" s="128" t="s">
        <v>290</v>
      </c>
      <c r="H481" s="129">
        <v>28750</v>
      </c>
      <c r="I481" s="129">
        <v>0</v>
      </c>
      <c r="J481" s="130">
        <f t="shared" si="14"/>
        <v>28750</v>
      </c>
    </row>
    <row r="482" spans="2:10" ht="15" customHeight="1" x14ac:dyDescent="0.3">
      <c r="B482" s="135">
        <v>4</v>
      </c>
      <c r="E482" s="127">
        <v>6</v>
      </c>
      <c r="F482" s="128" t="s">
        <v>253</v>
      </c>
      <c r="G482" s="128" t="s">
        <v>290</v>
      </c>
      <c r="H482" s="129">
        <v>22500</v>
      </c>
      <c r="I482" s="129">
        <v>5125</v>
      </c>
      <c r="J482" s="130">
        <f t="shared" si="14"/>
        <v>17375</v>
      </c>
    </row>
    <row r="483" spans="2:10" ht="15" customHeight="1" x14ac:dyDescent="0.3">
      <c r="B483" s="135">
        <v>4</v>
      </c>
      <c r="E483" s="127">
        <v>6</v>
      </c>
      <c r="F483" s="128" t="s">
        <v>264</v>
      </c>
      <c r="G483" s="128" t="s">
        <v>272</v>
      </c>
      <c r="H483" s="129">
        <v>912.07</v>
      </c>
      <c r="I483" s="129">
        <v>0</v>
      </c>
      <c r="J483" s="130">
        <f t="shared" si="14"/>
        <v>912.07</v>
      </c>
    </row>
    <row r="484" spans="2:10" ht="15" customHeight="1" x14ac:dyDescent="0.3">
      <c r="B484" s="135">
        <v>4</v>
      </c>
      <c r="E484" s="127">
        <v>6</v>
      </c>
      <c r="F484" s="128" t="s">
        <v>321</v>
      </c>
      <c r="G484" s="128" t="s">
        <v>272</v>
      </c>
      <c r="H484" s="129">
        <v>110.29</v>
      </c>
      <c r="I484" s="129">
        <v>0</v>
      </c>
      <c r="J484" s="130">
        <f t="shared" si="14"/>
        <v>110.29</v>
      </c>
    </row>
    <row r="485" spans="2:10" ht="15" customHeight="1" x14ac:dyDescent="0.3">
      <c r="B485" s="135">
        <v>4</v>
      </c>
      <c r="E485" s="127">
        <v>6</v>
      </c>
      <c r="F485" s="128" t="s">
        <v>264</v>
      </c>
      <c r="G485" s="128" t="s">
        <v>272</v>
      </c>
      <c r="H485" s="129">
        <v>412.57</v>
      </c>
      <c r="I485" s="129">
        <v>0</v>
      </c>
      <c r="J485" s="130">
        <f t="shared" si="14"/>
        <v>412.57</v>
      </c>
    </row>
    <row r="486" spans="2:10" ht="15" customHeight="1" x14ac:dyDescent="0.3">
      <c r="B486" s="135">
        <v>4</v>
      </c>
      <c r="E486" s="127">
        <v>10</v>
      </c>
      <c r="F486" s="128" t="s">
        <v>324</v>
      </c>
      <c r="G486" s="128" t="s">
        <v>325</v>
      </c>
      <c r="H486" s="129">
        <v>20323.920000000002</v>
      </c>
      <c r="I486" s="129">
        <v>0</v>
      </c>
      <c r="J486" s="130">
        <f t="shared" si="14"/>
        <v>20323.920000000002</v>
      </c>
    </row>
    <row r="487" spans="2:10" ht="15" customHeight="1" x14ac:dyDescent="0.3">
      <c r="B487" s="135">
        <v>4</v>
      </c>
      <c r="E487" s="127">
        <v>10</v>
      </c>
      <c r="F487" s="128" t="s">
        <v>326</v>
      </c>
      <c r="G487" s="128" t="s">
        <v>325</v>
      </c>
      <c r="H487" s="129">
        <v>6054.89</v>
      </c>
      <c r="I487" s="129">
        <v>0</v>
      </c>
      <c r="J487" s="130">
        <f t="shared" si="14"/>
        <v>6054.89</v>
      </c>
    </row>
    <row r="488" spans="2:10" ht="15" customHeight="1" x14ac:dyDescent="0.3">
      <c r="B488" s="135">
        <v>4</v>
      </c>
      <c r="E488" s="127">
        <v>16</v>
      </c>
      <c r="F488" s="128" t="s">
        <v>275</v>
      </c>
      <c r="G488" s="128" t="s">
        <v>331</v>
      </c>
      <c r="H488" s="129">
        <v>2527.8000000000002</v>
      </c>
      <c r="I488" s="129">
        <v>0</v>
      </c>
      <c r="J488" s="130">
        <f t="shared" si="14"/>
        <v>2527.8000000000002</v>
      </c>
    </row>
    <row r="489" spans="2:10" ht="15" customHeight="1" x14ac:dyDescent="0.3">
      <c r="B489" s="135">
        <v>4</v>
      </c>
      <c r="E489" s="127">
        <v>16</v>
      </c>
      <c r="F489" s="128" t="s">
        <v>275</v>
      </c>
      <c r="G489" s="128" t="s">
        <v>331</v>
      </c>
      <c r="H489" s="129">
        <v>7810.7</v>
      </c>
      <c r="I489" s="129">
        <v>0</v>
      </c>
      <c r="J489" s="130">
        <f t="shared" si="14"/>
        <v>7810.7</v>
      </c>
    </row>
    <row r="490" spans="2:10" ht="15" customHeight="1" x14ac:dyDescent="0.3">
      <c r="B490" s="135">
        <v>4</v>
      </c>
      <c r="E490" s="127">
        <v>16</v>
      </c>
      <c r="F490" s="128" t="s">
        <v>275</v>
      </c>
      <c r="G490" s="128" t="s">
        <v>331</v>
      </c>
      <c r="H490" s="129">
        <v>625.48</v>
      </c>
      <c r="I490" s="129">
        <v>0</v>
      </c>
      <c r="J490" s="130">
        <f t="shared" si="14"/>
        <v>625.48</v>
      </c>
    </row>
    <row r="491" spans="2:10" ht="15" customHeight="1" x14ac:dyDescent="0.3">
      <c r="B491" s="135">
        <v>4</v>
      </c>
      <c r="E491" s="127">
        <v>16</v>
      </c>
      <c r="F491" s="128" t="s">
        <v>275</v>
      </c>
      <c r="G491" s="128" t="s">
        <v>331</v>
      </c>
      <c r="H491" s="129">
        <v>-136.22</v>
      </c>
      <c r="I491" s="129">
        <v>0</v>
      </c>
      <c r="J491" s="130">
        <f t="shared" si="14"/>
        <v>-136.22</v>
      </c>
    </row>
    <row r="492" spans="2:10" ht="15" customHeight="1" x14ac:dyDescent="0.3">
      <c r="B492" s="135">
        <v>4</v>
      </c>
      <c r="E492" s="127">
        <v>16</v>
      </c>
      <c r="F492" s="128" t="s">
        <v>275</v>
      </c>
      <c r="G492" s="128" t="s">
        <v>331</v>
      </c>
      <c r="H492" s="129">
        <v>5451.95</v>
      </c>
      <c r="I492" s="129">
        <v>0</v>
      </c>
      <c r="J492" s="130">
        <f t="shared" si="14"/>
        <v>5451.95</v>
      </c>
    </row>
    <row r="493" spans="2:10" ht="15" customHeight="1" x14ac:dyDescent="0.3">
      <c r="B493" s="135">
        <v>4</v>
      </c>
      <c r="E493" s="127">
        <v>16</v>
      </c>
      <c r="F493" s="128" t="s">
        <v>275</v>
      </c>
      <c r="G493" s="128" t="s">
        <v>331</v>
      </c>
      <c r="H493" s="129">
        <v>123.02</v>
      </c>
      <c r="I493" s="129">
        <v>0</v>
      </c>
      <c r="J493" s="130">
        <f t="shared" si="14"/>
        <v>123.02</v>
      </c>
    </row>
    <row r="494" spans="2:10" ht="15" customHeight="1" x14ac:dyDescent="0.3">
      <c r="B494" s="135">
        <v>4</v>
      </c>
      <c r="E494" s="127">
        <v>16</v>
      </c>
      <c r="F494" s="128" t="s">
        <v>275</v>
      </c>
      <c r="G494" s="128" t="s">
        <v>331</v>
      </c>
      <c r="H494" s="129">
        <v>833.31</v>
      </c>
      <c r="I494" s="129">
        <v>0</v>
      </c>
      <c r="J494" s="130">
        <f t="shared" si="14"/>
        <v>833.31</v>
      </c>
    </row>
    <row r="495" spans="2:10" ht="15" customHeight="1" x14ac:dyDescent="0.3">
      <c r="B495" s="135">
        <v>4</v>
      </c>
      <c r="E495" s="127">
        <v>16</v>
      </c>
      <c r="F495" s="128" t="s">
        <v>275</v>
      </c>
      <c r="G495" s="128" t="s">
        <v>331</v>
      </c>
      <c r="H495" s="129">
        <v>993.58</v>
      </c>
      <c r="I495" s="129">
        <v>0</v>
      </c>
      <c r="J495" s="130">
        <f t="shared" si="14"/>
        <v>993.58</v>
      </c>
    </row>
    <row r="496" spans="2:10" ht="15" customHeight="1" x14ac:dyDescent="0.3">
      <c r="B496" s="135">
        <v>4</v>
      </c>
      <c r="E496" s="127">
        <v>16</v>
      </c>
      <c r="F496" s="128" t="s">
        <v>275</v>
      </c>
      <c r="G496" s="128" t="s">
        <v>331</v>
      </c>
      <c r="H496" s="129">
        <v>80.97</v>
      </c>
      <c r="I496" s="129">
        <v>0</v>
      </c>
      <c r="J496" s="130">
        <f t="shared" si="14"/>
        <v>80.97</v>
      </c>
    </row>
    <row r="497" spans="2:10" ht="15" customHeight="1" x14ac:dyDescent="0.3">
      <c r="B497" s="135">
        <v>4</v>
      </c>
      <c r="E497" s="127">
        <v>17</v>
      </c>
      <c r="F497" s="128" t="s">
        <v>332</v>
      </c>
      <c r="G497" s="128" t="s">
        <v>333</v>
      </c>
      <c r="H497" s="129">
        <v>82.760000000000218</v>
      </c>
      <c r="I497" s="129">
        <v>0</v>
      </c>
      <c r="J497" s="130">
        <f t="shared" si="14"/>
        <v>82.760000000000218</v>
      </c>
    </row>
    <row r="498" spans="2:10" ht="15" customHeight="1" x14ac:dyDescent="0.3">
      <c r="B498" s="135">
        <v>4</v>
      </c>
      <c r="E498" s="127">
        <v>17</v>
      </c>
      <c r="F498" s="128" t="s">
        <v>332</v>
      </c>
      <c r="G498" s="128" t="s">
        <v>334</v>
      </c>
      <c r="H498" s="129">
        <v>3455.59</v>
      </c>
      <c r="I498" s="129">
        <v>0</v>
      </c>
      <c r="J498" s="130">
        <f t="shared" si="14"/>
        <v>3455.59</v>
      </c>
    </row>
    <row r="499" spans="2:10" ht="15" customHeight="1" x14ac:dyDescent="0.3">
      <c r="B499" s="135">
        <v>4</v>
      </c>
      <c r="E499" s="127">
        <v>18</v>
      </c>
      <c r="F499" s="128" t="s">
        <v>6</v>
      </c>
      <c r="G499" s="128" t="s">
        <v>302</v>
      </c>
      <c r="H499" s="129">
        <v>16666.666666666668</v>
      </c>
      <c r="I499" s="129">
        <v>1666.666666666667</v>
      </c>
      <c r="J499" s="130">
        <f t="shared" si="14"/>
        <v>15000</v>
      </c>
    </row>
    <row r="500" spans="2:10" ht="15" customHeight="1" x14ac:dyDescent="0.3">
      <c r="B500" s="135">
        <v>4</v>
      </c>
      <c r="E500" s="127">
        <v>18</v>
      </c>
      <c r="F500" s="128" t="s">
        <v>6</v>
      </c>
      <c r="G500" s="128" t="s">
        <v>303</v>
      </c>
      <c r="H500" s="129">
        <v>16666.666666666668</v>
      </c>
      <c r="I500" s="129">
        <v>1666.666666666667</v>
      </c>
      <c r="J500" s="130">
        <f t="shared" si="14"/>
        <v>15000</v>
      </c>
    </row>
    <row r="501" spans="2:10" ht="15" customHeight="1" x14ac:dyDescent="0.3">
      <c r="B501" s="135">
        <v>4</v>
      </c>
      <c r="E501" s="127">
        <v>3</v>
      </c>
      <c r="F501" s="128" t="s">
        <v>309</v>
      </c>
      <c r="G501" s="128" t="s">
        <v>310</v>
      </c>
      <c r="H501" s="129">
        <v>700</v>
      </c>
      <c r="I501" s="129">
        <v>0</v>
      </c>
      <c r="J501" s="130">
        <f t="shared" ref="J501:J505" si="15">+H501-I501</f>
        <v>700</v>
      </c>
    </row>
    <row r="502" spans="2:10" ht="15" customHeight="1" x14ac:dyDescent="0.3">
      <c r="B502" s="135">
        <v>4</v>
      </c>
      <c r="E502" s="127">
        <v>6</v>
      </c>
      <c r="F502" s="128" t="s">
        <v>267</v>
      </c>
      <c r="G502" s="128" t="s">
        <v>268</v>
      </c>
      <c r="H502" s="129">
        <v>3750.43</v>
      </c>
      <c r="I502" s="129">
        <v>0</v>
      </c>
      <c r="J502" s="130">
        <f t="shared" si="15"/>
        <v>3750.43</v>
      </c>
    </row>
    <row r="503" spans="2:10" ht="15" customHeight="1" x14ac:dyDescent="0.3">
      <c r="B503" s="135">
        <v>4</v>
      </c>
      <c r="E503" s="127">
        <v>8</v>
      </c>
      <c r="F503" s="128" t="s">
        <v>322</v>
      </c>
      <c r="G503" s="128" t="s">
        <v>323</v>
      </c>
      <c r="H503" s="129">
        <v>30327</v>
      </c>
      <c r="I503" s="129">
        <v>0</v>
      </c>
      <c r="J503" s="130">
        <f t="shared" si="15"/>
        <v>30327</v>
      </c>
    </row>
    <row r="504" spans="2:10" ht="15" customHeight="1" x14ac:dyDescent="0.3">
      <c r="B504" s="135">
        <v>4</v>
      </c>
      <c r="E504" s="127">
        <v>14</v>
      </c>
      <c r="F504" s="128" t="s">
        <v>327</v>
      </c>
      <c r="G504" s="128" t="s">
        <v>328</v>
      </c>
      <c r="H504" s="129">
        <v>30000</v>
      </c>
      <c r="I504" s="129">
        <v>3000</v>
      </c>
      <c r="J504" s="130">
        <f t="shared" si="15"/>
        <v>27000</v>
      </c>
    </row>
    <row r="505" spans="2:10" ht="15" customHeight="1" x14ac:dyDescent="0.3">
      <c r="B505" s="135">
        <v>4</v>
      </c>
      <c r="E505" s="127">
        <v>15</v>
      </c>
      <c r="F505" s="128" t="s">
        <v>329</v>
      </c>
      <c r="G505" s="128" t="s">
        <v>330</v>
      </c>
      <c r="H505" s="129">
        <v>66666.66</v>
      </c>
      <c r="I505" s="129">
        <v>6666.66</v>
      </c>
      <c r="J505" s="130">
        <f t="shared" si="15"/>
        <v>60000</v>
      </c>
    </row>
    <row r="506" spans="2:10" ht="15" customHeight="1" x14ac:dyDescent="0.3">
      <c r="B506" s="135">
        <v>5</v>
      </c>
      <c r="E506" s="127">
        <v>1</v>
      </c>
      <c r="F506" s="128" t="s">
        <v>261</v>
      </c>
      <c r="G506" s="128" t="s">
        <v>336</v>
      </c>
      <c r="H506" s="129">
        <v>10000</v>
      </c>
      <c r="I506" s="129">
        <v>0</v>
      </c>
      <c r="J506" s="130">
        <f>+H506-I506</f>
        <v>10000</v>
      </c>
    </row>
    <row r="507" spans="2:10" ht="15" customHeight="1" x14ac:dyDescent="0.3">
      <c r="B507" s="135">
        <v>5</v>
      </c>
      <c r="E507" s="127">
        <v>1</v>
      </c>
      <c r="F507" s="128" t="s">
        <v>169</v>
      </c>
      <c r="G507" s="128" t="s">
        <v>337</v>
      </c>
      <c r="H507" s="129">
        <v>3888.8888888888887</v>
      </c>
      <c r="I507" s="129">
        <v>0</v>
      </c>
      <c r="J507" s="130">
        <f>+H507-I507</f>
        <v>3888.8888888888887</v>
      </c>
    </row>
    <row r="508" spans="2:10" ht="15" customHeight="1" x14ac:dyDescent="0.3">
      <c r="B508" s="135">
        <v>5</v>
      </c>
      <c r="E508" s="127">
        <v>1</v>
      </c>
      <c r="F508" s="128" t="s">
        <v>172</v>
      </c>
      <c r="G508" s="128" t="s">
        <v>337</v>
      </c>
      <c r="H508" s="129">
        <v>3611.1111111111113</v>
      </c>
      <c r="I508" s="129">
        <v>0</v>
      </c>
      <c r="J508" s="130">
        <f>+H508-I508</f>
        <v>3611.1111111111113</v>
      </c>
    </row>
    <row r="509" spans="2:10" ht="15" customHeight="1" x14ac:dyDescent="0.3">
      <c r="B509" s="135">
        <v>5</v>
      </c>
      <c r="E509" s="127">
        <v>3</v>
      </c>
      <c r="F509" s="128" t="s">
        <v>346</v>
      </c>
      <c r="G509" s="128" t="s">
        <v>347</v>
      </c>
      <c r="H509" s="129">
        <v>8600</v>
      </c>
      <c r="I509" s="129">
        <v>0</v>
      </c>
      <c r="J509" s="130">
        <f>+H509-I509</f>
        <v>8600</v>
      </c>
    </row>
    <row r="510" spans="2:10" ht="15" customHeight="1" x14ac:dyDescent="0.3">
      <c r="B510" s="135">
        <v>5</v>
      </c>
      <c r="E510" s="127">
        <v>6</v>
      </c>
      <c r="F510" s="128" t="s">
        <v>253</v>
      </c>
      <c r="G510" s="128" t="s">
        <v>290</v>
      </c>
      <c r="H510" s="129">
        <v>22000</v>
      </c>
      <c r="I510" s="129">
        <v>2200</v>
      </c>
      <c r="J510" s="130">
        <f t="shared" ref="J510:J513" si="16">+H510-I510</f>
        <v>19800</v>
      </c>
    </row>
    <row r="511" spans="2:10" ht="15" customHeight="1" x14ac:dyDescent="0.3">
      <c r="B511" s="135">
        <v>5</v>
      </c>
      <c r="E511" s="127">
        <v>6</v>
      </c>
      <c r="F511" s="128" t="s">
        <v>253</v>
      </c>
      <c r="G511" s="128" t="s">
        <v>290</v>
      </c>
      <c r="H511" s="129">
        <v>25960</v>
      </c>
      <c r="I511" s="129">
        <v>2596</v>
      </c>
      <c r="J511" s="130">
        <f t="shared" si="16"/>
        <v>23364</v>
      </c>
    </row>
    <row r="512" spans="2:10" ht="15" customHeight="1" x14ac:dyDescent="0.3">
      <c r="B512" s="135">
        <v>5</v>
      </c>
      <c r="E512" s="127">
        <v>8</v>
      </c>
      <c r="F512" s="128" t="s">
        <v>190</v>
      </c>
      <c r="G512" s="128" t="s">
        <v>335</v>
      </c>
      <c r="H512" s="129">
        <v>36604.21</v>
      </c>
      <c r="I512" s="129">
        <v>0</v>
      </c>
      <c r="J512" s="130">
        <f t="shared" si="16"/>
        <v>36604.21</v>
      </c>
    </row>
    <row r="513" spans="2:10" ht="15" customHeight="1" x14ac:dyDescent="0.3">
      <c r="B513" s="135">
        <v>5</v>
      </c>
      <c r="E513" s="127">
        <v>15</v>
      </c>
      <c r="F513" s="128" t="s">
        <v>348</v>
      </c>
      <c r="G513" s="128" t="s">
        <v>349</v>
      </c>
      <c r="H513" s="129">
        <v>121688.63</v>
      </c>
      <c r="I513" s="129">
        <v>0</v>
      </c>
      <c r="J513" s="130">
        <f t="shared" si="16"/>
        <v>121688.63</v>
      </c>
    </row>
    <row r="514" spans="2:10" ht="15" customHeight="1" x14ac:dyDescent="0.3">
      <c r="B514" s="135">
        <v>5</v>
      </c>
      <c r="E514" s="127">
        <v>18</v>
      </c>
      <c r="F514" s="128" t="s">
        <v>6</v>
      </c>
      <c r="G514" s="128" t="s">
        <v>337</v>
      </c>
      <c r="H514" s="129">
        <v>16666.666666666668</v>
      </c>
      <c r="I514" s="129">
        <v>1666.666666666667</v>
      </c>
      <c r="J514" s="130">
        <f t="shared" ref="J514" si="17">+H514-I514</f>
        <v>15000</v>
      </c>
    </row>
    <row r="515" spans="2:10" ht="15" customHeight="1" x14ac:dyDescent="0.3">
      <c r="B515" s="135">
        <v>5</v>
      </c>
      <c r="E515" s="127">
        <v>6</v>
      </c>
      <c r="F515" s="128" t="s">
        <v>265</v>
      </c>
      <c r="G515" s="128" t="s">
        <v>266</v>
      </c>
      <c r="H515" s="129">
        <v>78653.149999999994</v>
      </c>
      <c r="I515" s="129">
        <v>0</v>
      </c>
      <c r="J515" s="130">
        <f t="shared" ref="J515:J524" si="18">+H515-I515</f>
        <v>78653.149999999994</v>
      </c>
    </row>
    <row r="516" spans="2:10" ht="15" customHeight="1" x14ac:dyDescent="0.3">
      <c r="B516" s="135">
        <v>5</v>
      </c>
      <c r="E516" s="127">
        <v>8</v>
      </c>
      <c r="F516" s="128" t="s">
        <v>190</v>
      </c>
      <c r="G516" s="128" t="s">
        <v>335</v>
      </c>
      <c r="H516" s="129">
        <v>56541.120000000003</v>
      </c>
      <c r="I516" s="129">
        <v>0</v>
      </c>
      <c r="J516" s="130">
        <f t="shared" si="18"/>
        <v>56541.120000000003</v>
      </c>
    </row>
    <row r="517" spans="2:10" ht="15" customHeight="1" x14ac:dyDescent="0.3">
      <c r="B517" s="135">
        <v>5</v>
      </c>
      <c r="E517" s="127">
        <v>7</v>
      </c>
      <c r="F517" s="128" t="s">
        <v>338</v>
      </c>
      <c r="G517" s="128" t="s">
        <v>339</v>
      </c>
      <c r="H517" s="129">
        <v>150000</v>
      </c>
      <c r="I517" s="129">
        <v>15000</v>
      </c>
      <c r="J517" s="130">
        <f t="shared" si="18"/>
        <v>135000</v>
      </c>
    </row>
    <row r="518" spans="2:10" ht="15" customHeight="1" x14ac:dyDescent="0.3">
      <c r="B518" s="135">
        <v>5</v>
      </c>
      <c r="E518" s="127">
        <v>10</v>
      </c>
      <c r="F518" s="128" t="s">
        <v>324</v>
      </c>
      <c r="G518" s="128" t="s">
        <v>342</v>
      </c>
      <c r="H518" s="129">
        <v>20323.920000000002</v>
      </c>
      <c r="I518" s="129">
        <v>0</v>
      </c>
      <c r="J518" s="130">
        <f t="shared" ref="J518:J523" si="19">+H518-I518</f>
        <v>20323.920000000002</v>
      </c>
    </row>
    <row r="519" spans="2:10" ht="15" customHeight="1" x14ac:dyDescent="0.3">
      <c r="B519" s="135">
        <v>5</v>
      </c>
      <c r="E519" s="127">
        <v>10</v>
      </c>
      <c r="F519" s="128" t="s">
        <v>326</v>
      </c>
      <c r="G519" s="128" t="s">
        <v>342</v>
      </c>
      <c r="H519" s="129">
        <v>6054.89</v>
      </c>
      <c r="I519" s="129">
        <v>0</v>
      </c>
      <c r="J519" s="130">
        <f t="shared" si="19"/>
        <v>6054.89</v>
      </c>
    </row>
    <row r="520" spans="2:10" ht="15" customHeight="1" x14ac:dyDescent="0.3">
      <c r="B520" s="135">
        <v>5</v>
      </c>
      <c r="E520" s="127">
        <v>10</v>
      </c>
      <c r="F520" s="128" t="s">
        <v>324</v>
      </c>
      <c r="G520" s="128" t="s">
        <v>343</v>
      </c>
      <c r="H520" s="129">
        <v>7539.2200927941776</v>
      </c>
      <c r="I520" s="129">
        <v>0</v>
      </c>
      <c r="J520" s="130">
        <f t="shared" si="19"/>
        <v>7539.2200927941776</v>
      </c>
    </row>
    <row r="521" spans="2:10" ht="15" customHeight="1" x14ac:dyDescent="0.3">
      <c r="B521" s="135">
        <v>5</v>
      </c>
      <c r="E521" s="127">
        <v>10</v>
      </c>
      <c r="F521" s="128" t="s">
        <v>326</v>
      </c>
      <c r="G521" s="128" t="s">
        <v>343</v>
      </c>
      <c r="H521" s="129">
        <v>2246.0799072058217</v>
      </c>
      <c r="I521" s="129">
        <v>0</v>
      </c>
      <c r="J521" s="130">
        <f t="shared" si="19"/>
        <v>2246.0799072058217</v>
      </c>
    </row>
    <row r="522" spans="2:10" ht="15" customHeight="1" x14ac:dyDescent="0.3">
      <c r="B522" s="135">
        <v>5</v>
      </c>
      <c r="E522" s="127">
        <v>15</v>
      </c>
      <c r="F522" s="128" t="s">
        <v>340</v>
      </c>
      <c r="G522" s="128" t="s">
        <v>341</v>
      </c>
      <c r="H522" s="129">
        <v>150000</v>
      </c>
      <c r="I522" s="129">
        <v>15000</v>
      </c>
      <c r="J522" s="130">
        <f t="shared" si="19"/>
        <v>135000</v>
      </c>
    </row>
    <row r="523" spans="2:10" ht="15" customHeight="1" x14ac:dyDescent="0.3">
      <c r="B523" s="135">
        <v>5</v>
      </c>
      <c r="E523" s="127">
        <v>15</v>
      </c>
      <c r="F523" s="128" t="s">
        <v>350</v>
      </c>
      <c r="G523" s="128" t="s">
        <v>330</v>
      </c>
      <c r="H523" s="129">
        <v>44444.44</v>
      </c>
      <c r="I523" s="129">
        <v>4444.4399999999996</v>
      </c>
      <c r="J523" s="130">
        <f t="shared" si="19"/>
        <v>40000</v>
      </c>
    </row>
    <row r="524" spans="2:10" ht="15" customHeight="1" x14ac:dyDescent="0.3">
      <c r="B524" s="135">
        <v>5</v>
      </c>
      <c r="E524" s="127">
        <v>16</v>
      </c>
      <c r="F524" s="128" t="s">
        <v>344</v>
      </c>
      <c r="G524" s="128" t="s">
        <v>345</v>
      </c>
      <c r="H524" s="129">
        <v>82160.36</v>
      </c>
      <c r="I524" s="129">
        <v>0</v>
      </c>
      <c r="J524" s="130">
        <f t="shared" si="18"/>
        <v>82160.36</v>
      </c>
    </row>
    <row r="525" spans="2:10" ht="15" customHeight="1" x14ac:dyDescent="0.3">
      <c r="B525" s="135">
        <v>6</v>
      </c>
      <c r="E525" s="127">
        <v>1</v>
      </c>
      <c r="F525" s="128" t="s">
        <v>248</v>
      </c>
      <c r="G525" s="128" t="s">
        <v>286</v>
      </c>
      <c r="H525" s="129">
        <v>10</v>
      </c>
      <c r="I525" s="129">
        <v>0</v>
      </c>
      <c r="J525" s="130">
        <f>+H525-I525</f>
        <v>10</v>
      </c>
    </row>
    <row r="526" spans="2:10" ht="15" customHeight="1" x14ac:dyDescent="0.3">
      <c r="B526" s="135">
        <v>6</v>
      </c>
      <c r="E526" s="127">
        <v>1</v>
      </c>
      <c r="F526" s="128" t="s">
        <v>257</v>
      </c>
      <c r="G526" s="128" t="s">
        <v>351</v>
      </c>
      <c r="H526" s="129">
        <v>1216.1199999999999</v>
      </c>
      <c r="I526" s="129">
        <v>0</v>
      </c>
      <c r="J526" s="130">
        <f t="shared" ref="J526:J589" si="20">+H526-I526</f>
        <v>1216.1199999999999</v>
      </c>
    </row>
    <row r="527" spans="2:10" ht="15" customHeight="1" x14ac:dyDescent="0.3">
      <c r="B527" s="135">
        <v>6</v>
      </c>
      <c r="E527" s="127">
        <v>1</v>
      </c>
      <c r="F527" s="128" t="s">
        <v>257</v>
      </c>
      <c r="G527" s="128" t="s">
        <v>351</v>
      </c>
      <c r="H527" s="129">
        <v>1</v>
      </c>
      <c r="I527" s="129">
        <v>0</v>
      </c>
      <c r="J527" s="130">
        <f t="shared" si="20"/>
        <v>1</v>
      </c>
    </row>
    <row r="528" spans="2:10" ht="15" customHeight="1" x14ac:dyDescent="0.3">
      <c r="B528" s="135">
        <v>6</v>
      </c>
      <c r="E528" s="127">
        <v>1</v>
      </c>
      <c r="F528" s="128" t="s">
        <v>257</v>
      </c>
      <c r="G528" s="128" t="s">
        <v>351</v>
      </c>
      <c r="H528" s="129">
        <v>1009.79</v>
      </c>
      <c r="I528" s="129">
        <v>0</v>
      </c>
      <c r="J528" s="130">
        <f t="shared" si="20"/>
        <v>1009.79</v>
      </c>
    </row>
    <row r="529" spans="2:10" ht="15" customHeight="1" x14ac:dyDescent="0.3">
      <c r="B529" s="135">
        <v>6</v>
      </c>
      <c r="E529" s="127">
        <v>1</v>
      </c>
      <c r="F529" s="128" t="s">
        <v>257</v>
      </c>
      <c r="G529" s="128" t="s">
        <v>351</v>
      </c>
      <c r="H529" s="129">
        <v>1149.9000000000001</v>
      </c>
      <c r="I529" s="129">
        <v>0</v>
      </c>
      <c r="J529" s="130">
        <f t="shared" si="20"/>
        <v>1149.9000000000001</v>
      </c>
    </row>
    <row r="530" spans="2:10" ht="15" customHeight="1" x14ac:dyDescent="0.3">
      <c r="B530" s="135">
        <v>6</v>
      </c>
      <c r="E530" s="127">
        <v>1</v>
      </c>
      <c r="F530" s="128" t="s">
        <v>257</v>
      </c>
      <c r="G530" s="128" t="s">
        <v>351</v>
      </c>
      <c r="H530" s="129">
        <v>943.58</v>
      </c>
      <c r="I530" s="129">
        <v>0</v>
      </c>
      <c r="J530" s="130">
        <f t="shared" si="20"/>
        <v>943.58</v>
      </c>
    </row>
    <row r="531" spans="2:10" ht="15" customHeight="1" x14ac:dyDescent="0.3">
      <c r="B531" s="135">
        <v>6</v>
      </c>
      <c r="E531" s="127">
        <v>1</v>
      </c>
      <c r="F531" s="128" t="s">
        <v>257</v>
      </c>
      <c r="G531" s="128" t="s">
        <v>351</v>
      </c>
      <c r="H531" s="129">
        <v>1009.79</v>
      </c>
      <c r="I531" s="129">
        <v>0</v>
      </c>
      <c r="J531" s="130">
        <f t="shared" si="20"/>
        <v>1009.79</v>
      </c>
    </row>
    <row r="532" spans="2:10" ht="15" customHeight="1" x14ac:dyDescent="0.3">
      <c r="B532" s="135">
        <v>6</v>
      </c>
      <c r="E532" s="127">
        <v>1</v>
      </c>
      <c r="F532" s="128" t="s">
        <v>352</v>
      </c>
      <c r="G532" s="128" t="s">
        <v>255</v>
      </c>
      <c r="H532" s="129">
        <v>817.83</v>
      </c>
      <c r="I532" s="129">
        <v>0</v>
      </c>
      <c r="J532" s="130">
        <f t="shared" si="20"/>
        <v>817.83</v>
      </c>
    </row>
    <row r="533" spans="2:10" ht="15" customHeight="1" x14ac:dyDescent="0.3">
      <c r="B533" s="135">
        <v>6</v>
      </c>
      <c r="E533" s="127">
        <v>1</v>
      </c>
      <c r="F533" s="128" t="s">
        <v>353</v>
      </c>
      <c r="G533" s="128" t="s">
        <v>255</v>
      </c>
      <c r="H533" s="129">
        <v>1031.6199999999999</v>
      </c>
      <c r="I533" s="129">
        <v>0</v>
      </c>
      <c r="J533" s="130">
        <f t="shared" si="20"/>
        <v>1031.6199999999999</v>
      </c>
    </row>
    <row r="534" spans="2:10" ht="15" customHeight="1" x14ac:dyDescent="0.3">
      <c r="B534" s="135">
        <v>6</v>
      </c>
      <c r="E534" s="127">
        <v>1</v>
      </c>
      <c r="F534" s="128" t="s">
        <v>354</v>
      </c>
      <c r="G534" s="128" t="s">
        <v>255</v>
      </c>
      <c r="H534" s="129">
        <v>150.74</v>
      </c>
      <c r="I534" s="129">
        <v>0</v>
      </c>
      <c r="J534" s="130">
        <f t="shared" si="20"/>
        <v>150.74</v>
      </c>
    </row>
    <row r="535" spans="2:10" ht="15" customHeight="1" x14ac:dyDescent="0.3">
      <c r="B535" s="135">
        <v>6</v>
      </c>
      <c r="E535" s="127">
        <v>1</v>
      </c>
      <c r="F535" s="128" t="s">
        <v>354</v>
      </c>
      <c r="G535" s="128" t="s">
        <v>255</v>
      </c>
      <c r="H535" s="129">
        <v>150.74</v>
      </c>
      <c r="I535" s="129">
        <v>0</v>
      </c>
      <c r="J535" s="130">
        <f t="shared" si="20"/>
        <v>150.74</v>
      </c>
    </row>
    <row r="536" spans="2:10" ht="15" customHeight="1" x14ac:dyDescent="0.3">
      <c r="B536" s="135">
        <v>6</v>
      </c>
      <c r="E536" s="127">
        <v>1</v>
      </c>
      <c r="F536" s="128" t="s">
        <v>353</v>
      </c>
      <c r="G536" s="128" t="s">
        <v>255</v>
      </c>
      <c r="H536" s="129">
        <v>1031.6199999999999</v>
      </c>
      <c r="I536" s="129">
        <v>0</v>
      </c>
      <c r="J536" s="130">
        <f t="shared" si="20"/>
        <v>1031.6199999999999</v>
      </c>
    </row>
    <row r="537" spans="2:10" ht="15" customHeight="1" x14ac:dyDescent="0.3">
      <c r="B537" s="135">
        <v>6</v>
      </c>
      <c r="E537" s="127">
        <v>1</v>
      </c>
      <c r="F537" s="128" t="s">
        <v>352</v>
      </c>
      <c r="G537" s="128" t="s">
        <v>255</v>
      </c>
      <c r="H537" s="129">
        <v>817.83</v>
      </c>
      <c r="I537" s="129">
        <v>0</v>
      </c>
      <c r="J537" s="130">
        <f t="shared" si="20"/>
        <v>817.83</v>
      </c>
    </row>
    <row r="538" spans="2:10" ht="15" customHeight="1" x14ac:dyDescent="0.3">
      <c r="B538" s="135">
        <v>6</v>
      </c>
      <c r="E538" s="127">
        <v>1</v>
      </c>
      <c r="F538" s="128" t="s">
        <v>354</v>
      </c>
      <c r="G538" s="128" t="s">
        <v>255</v>
      </c>
      <c r="H538" s="129">
        <v>187.27</v>
      </c>
      <c r="I538" s="129">
        <v>0</v>
      </c>
      <c r="J538" s="130">
        <f t="shared" si="20"/>
        <v>187.27</v>
      </c>
    </row>
    <row r="539" spans="2:10" ht="15" customHeight="1" x14ac:dyDescent="0.3">
      <c r="B539" s="135">
        <v>6</v>
      </c>
      <c r="E539" s="127">
        <v>1</v>
      </c>
      <c r="F539" s="128" t="s">
        <v>354</v>
      </c>
      <c r="G539" s="128" t="s">
        <v>255</v>
      </c>
      <c r="H539" s="129">
        <v>150.74</v>
      </c>
      <c r="I539" s="129">
        <v>0</v>
      </c>
      <c r="J539" s="130">
        <f t="shared" si="20"/>
        <v>150.74</v>
      </c>
    </row>
    <row r="540" spans="2:10" ht="15" customHeight="1" x14ac:dyDescent="0.3">
      <c r="B540" s="135">
        <v>6</v>
      </c>
      <c r="E540" s="127">
        <v>1</v>
      </c>
      <c r="F540" s="128" t="s">
        <v>354</v>
      </c>
      <c r="G540" s="128" t="s">
        <v>255</v>
      </c>
      <c r="H540" s="129">
        <v>150.74</v>
      </c>
      <c r="I540" s="129">
        <v>0</v>
      </c>
      <c r="J540" s="130">
        <f t="shared" si="20"/>
        <v>150.74</v>
      </c>
    </row>
    <row r="541" spans="2:10" ht="15" customHeight="1" x14ac:dyDescent="0.3">
      <c r="B541" s="135">
        <v>6</v>
      </c>
      <c r="E541" s="127">
        <v>1</v>
      </c>
      <c r="F541" s="128" t="s">
        <v>354</v>
      </c>
      <c r="G541" s="128" t="s">
        <v>255</v>
      </c>
      <c r="H541" s="129">
        <v>187.27</v>
      </c>
      <c r="I541" s="129">
        <v>0</v>
      </c>
      <c r="J541" s="130">
        <f t="shared" si="20"/>
        <v>187.27</v>
      </c>
    </row>
    <row r="542" spans="2:10" ht="15" customHeight="1" x14ac:dyDescent="0.3">
      <c r="B542" s="135">
        <v>6</v>
      </c>
      <c r="E542" s="127">
        <v>1</v>
      </c>
      <c r="F542" s="128" t="s">
        <v>353</v>
      </c>
      <c r="G542" s="128" t="s">
        <v>255</v>
      </c>
      <c r="H542" s="129">
        <v>1031.6199999999999</v>
      </c>
      <c r="I542" s="129">
        <v>0</v>
      </c>
      <c r="J542" s="130">
        <f t="shared" si="20"/>
        <v>1031.6199999999999</v>
      </c>
    </row>
    <row r="543" spans="2:10" ht="15" customHeight="1" x14ac:dyDescent="0.3">
      <c r="B543" s="135">
        <v>6</v>
      </c>
      <c r="E543" s="127">
        <v>1</v>
      </c>
      <c r="F543" s="128" t="s">
        <v>247</v>
      </c>
      <c r="G543" s="128" t="s">
        <v>355</v>
      </c>
      <c r="H543" s="129">
        <v>181.8</v>
      </c>
      <c r="I543" s="129">
        <v>0</v>
      </c>
      <c r="J543" s="130">
        <f t="shared" si="20"/>
        <v>181.8</v>
      </c>
    </row>
    <row r="544" spans="2:10" ht="15" customHeight="1" x14ac:dyDescent="0.3">
      <c r="B544" s="135">
        <v>6</v>
      </c>
      <c r="E544" s="127">
        <v>1</v>
      </c>
      <c r="F544" s="128" t="s">
        <v>247</v>
      </c>
      <c r="G544" s="128" t="s">
        <v>356</v>
      </c>
      <c r="H544" s="129">
        <v>216.51</v>
      </c>
      <c r="I544" s="129">
        <v>0</v>
      </c>
      <c r="J544" s="130">
        <f t="shared" si="20"/>
        <v>216.51</v>
      </c>
    </row>
    <row r="545" spans="2:10" ht="15" customHeight="1" x14ac:dyDescent="0.3">
      <c r="B545" s="135">
        <v>6</v>
      </c>
      <c r="E545" s="127">
        <v>1</v>
      </c>
      <c r="F545" s="128" t="s">
        <v>247</v>
      </c>
      <c r="G545" s="128" t="s">
        <v>357</v>
      </c>
      <c r="H545" s="129">
        <v>43.21</v>
      </c>
      <c r="I545" s="129">
        <v>0</v>
      </c>
      <c r="J545" s="130">
        <f t="shared" si="20"/>
        <v>43.21</v>
      </c>
    </row>
    <row r="546" spans="2:10" ht="15" customHeight="1" x14ac:dyDescent="0.3">
      <c r="B546" s="135">
        <v>6</v>
      </c>
      <c r="E546" s="127">
        <v>1</v>
      </c>
      <c r="F546" s="128" t="s">
        <v>241</v>
      </c>
      <c r="G546" s="128" t="s">
        <v>238</v>
      </c>
      <c r="H546" s="129">
        <v>260.88</v>
      </c>
      <c r="I546" s="129">
        <v>0</v>
      </c>
      <c r="J546" s="130">
        <f t="shared" si="20"/>
        <v>260.88</v>
      </c>
    </row>
    <row r="547" spans="2:10" ht="15" customHeight="1" x14ac:dyDescent="0.3">
      <c r="B547" s="135">
        <v>6</v>
      </c>
      <c r="E547" s="127">
        <v>1</v>
      </c>
      <c r="F547" s="128" t="s">
        <v>247</v>
      </c>
      <c r="G547" s="128" t="s">
        <v>358</v>
      </c>
      <c r="H547" s="129">
        <v>22.64</v>
      </c>
      <c r="I547" s="129">
        <v>0</v>
      </c>
      <c r="J547" s="130">
        <f t="shared" si="20"/>
        <v>22.64</v>
      </c>
    </row>
    <row r="548" spans="2:10" ht="15" customHeight="1" x14ac:dyDescent="0.3">
      <c r="B548" s="135">
        <v>6</v>
      </c>
      <c r="E548" s="127">
        <v>1</v>
      </c>
      <c r="F548" s="128" t="s">
        <v>247</v>
      </c>
      <c r="G548" s="128" t="s">
        <v>359</v>
      </c>
      <c r="H548" s="129">
        <v>31.37</v>
      </c>
      <c r="I548" s="129">
        <v>0</v>
      </c>
      <c r="J548" s="130">
        <f t="shared" si="20"/>
        <v>31.37</v>
      </c>
    </row>
    <row r="549" spans="2:10" ht="15" customHeight="1" x14ac:dyDescent="0.3">
      <c r="B549" s="135">
        <v>6</v>
      </c>
      <c r="E549" s="127">
        <v>1</v>
      </c>
      <c r="F549" s="128" t="s">
        <v>247</v>
      </c>
      <c r="G549" s="128" t="s">
        <v>360</v>
      </c>
      <c r="H549" s="129">
        <v>86.44</v>
      </c>
      <c r="I549" s="129">
        <v>0</v>
      </c>
      <c r="J549" s="130">
        <f t="shared" si="20"/>
        <v>86.44</v>
      </c>
    </row>
    <row r="550" spans="2:10" ht="15" customHeight="1" x14ac:dyDescent="0.3">
      <c r="B550" s="135">
        <v>6</v>
      </c>
      <c r="E550" s="127">
        <v>1</v>
      </c>
      <c r="F550" s="128" t="s">
        <v>247</v>
      </c>
      <c r="G550" s="128" t="s">
        <v>361</v>
      </c>
      <c r="H550" s="129">
        <v>48.65</v>
      </c>
      <c r="I550" s="129">
        <v>0</v>
      </c>
      <c r="J550" s="130">
        <f t="shared" si="20"/>
        <v>48.65</v>
      </c>
    </row>
    <row r="551" spans="2:10" ht="15" customHeight="1" x14ac:dyDescent="0.3">
      <c r="B551" s="135">
        <v>6</v>
      </c>
      <c r="E551" s="127">
        <v>1</v>
      </c>
      <c r="F551" s="128" t="s">
        <v>241</v>
      </c>
      <c r="G551" s="128" t="s">
        <v>238</v>
      </c>
      <c r="H551" s="129">
        <v>260.88</v>
      </c>
      <c r="I551" s="129">
        <v>0</v>
      </c>
      <c r="J551" s="130">
        <f t="shared" si="20"/>
        <v>260.88</v>
      </c>
    </row>
    <row r="552" spans="2:10" ht="15" customHeight="1" x14ac:dyDescent="0.3">
      <c r="B552" s="135">
        <v>6</v>
      </c>
      <c r="E552" s="127">
        <v>1</v>
      </c>
      <c r="F552" s="128" t="s">
        <v>247</v>
      </c>
      <c r="G552" s="128" t="s">
        <v>362</v>
      </c>
      <c r="H552" s="129">
        <v>32.65</v>
      </c>
      <c r="I552" s="129">
        <v>0</v>
      </c>
      <c r="J552" s="130">
        <f t="shared" si="20"/>
        <v>32.65</v>
      </c>
    </row>
    <row r="553" spans="2:10" ht="15" customHeight="1" x14ac:dyDescent="0.3">
      <c r="B553" s="135">
        <v>6</v>
      </c>
      <c r="E553" s="127">
        <v>1</v>
      </c>
      <c r="F553" s="128" t="s">
        <v>257</v>
      </c>
      <c r="G553" s="128" t="s">
        <v>258</v>
      </c>
      <c r="H553" s="129">
        <v>57.81</v>
      </c>
      <c r="I553" s="129">
        <v>0</v>
      </c>
      <c r="J553" s="130">
        <f t="shared" si="20"/>
        <v>57.81</v>
      </c>
    </row>
    <row r="554" spans="2:10" ht="15" customHeight="1" x14ac:dyDescent="0.3">
      <c r="B554" s="135">
        <v>6</v>
      </c>
      <c r="E554" s="127">
        <v>1</v>
      </c>
      <c r="F554" s="128" t="s">
        <v>257</v>
      </c>
      <c r="G554" s="128" t="s">
        <v>258</v>
      </c>
      <c r="H554" s="129">
        <v>724.74</v>
      </c>
      <c r="I554" s="129">
        <v>0</v>
      </c>
      <c r="J554" s="130">
        <f t="shared" si="20"/>
        <v>724.74</v>
      </c>
    </row>
    <row r="555" spans="2:10" ht="15" customHeight="1" x14ac:dyDescent="0.3">
      <c r="B555" s="135">
        <v>6</v>
      </c>
      <c r="E555" s="127">
        <v>1</v>
      </c>
      <c r="F555" s="128" t="s">
        <v>248</v>
      </c>
      <c r="G555" s="128" t="s">
        <v>286</v>
      </c>
      <c r="H555" s="129">
        <v>10</v>
      </c>
      <c r="I555" s="129">
        <v>0</v>
      </c>
      <c r="J555" s="130">
        <f t="shared" si="20"/>
        <v>10</v>
      </c>
    </row>
    <row r="556" spans="2:10" ht="15" customHeight="1" x14ac:dyDescent="0.3">
      <c r="B556" s="135">
        <v>6</v>
      </c>
      <c r="E556" s="127">
        <v>1</v>
      </c>
      <c r="F556" s="128" t="s">
        <v>257</v>
      </c>
      <c r="G556" s="128" t="s">
        <v>351</v>
      </c>
      <c r="H556" s="129">
        <v>943.58</v>
      </c>
      <c r="I556" s="129">
        <v>0</v>
      </c>
      <c r="J556" s="130">
        <f t="shared" si="20"/>
        <v>943.58</v>
      </c>
    </row>
    <row r="557" spans="2:10" ht="15" customHeight="1" x14ac:dyDescent="0.3">
      <c r="B557" s="135">
        <v>6</v>
      </c>
      <c r="E557" s="127">
        <v>1</v>
      </c>
      <c r="F557" s="128" t="s">
        <v>259</v>
      </c>
      <c r="G557" s="128" t="s">
        <v>260</v>
      </c>
      <c r="H557" s="129">
        <v>1515.5</v>
      </c>
      <c r="I557" s="129">
        <v>0</v>
      </c>
      <c r="J557" s="130">
        <f t="shared" si="20"/>
        <v>1515.5</v>
      </c>
    </row>
    <row r="558" spans="2:10" ht="15" customHeight="1" x14ac:dyDescent="0.3">
      <c r="B558" s="135">
        <v>6</v>
      </c>
      <c r="E558" s="127">
        <v>1</v>
      </c>
      <c r="F558" s="128" t="s">
        <v>259</v>
      </c>
      <c r="G558" s="128" t="s">
        <v>260</v>
      </c>
      <c r="H558" s="129">
        <v>1515.5</v>
      </c>
      <c r="I558" s="129">
        <v>0</v>
      </c>
      <c r="J558" s="130">
        <f t="shared" si="20"/>
        <v>1515.5</v>
      </c>
    </row>
    <row r="559" spans="2:10" ht="15" customHeight="1" x14ac:dyDescent="0.3">
      <c r="B559" s="135">
        <v>6</v>
      </c>
      <c r="E559" s="127">
        <v>1</v>
      </c>
      <c r="F559" s="128" t="s">
        <v>305</v>
      </c>
      <c r="G559" s="128" t="s">
        <v>363</v>
      </c>
      <c r="H559" s="129">
        <v>760</v>
      </c>
      <c r="I559" s="129">
        <v>0</v>
      </c>
      <c r="J559" s="130">
        <f t="shared" si="20"/>
        <v>760</v>
      </c>
    </row>
    <row r="560" spans="2:10" ht="15" customHeight="1" x14ac:dyDescent="0.3">
      <c r="B560" s="135">
        <v>6</v>
      </c>
      <c r="E560" s="127">
        <v>1</v>
      </c>
      <c r="F560" s="128" t="s">
        <v>305</v>
      </c>
      <c r="G560" s="128" t="s">
        <v>363</v>
      </c>
      <c r="H560" s="129">
        <v>1185.75</v>
      </c>
      <c r="I560" s="129">
        <v>0</v>
      </c>
      <c r="J560" s="130">
        <f t="shared" si="20"/>
        <v>1185.75</v>
      </c>
    </row>
    <row r="561" spans="2:10" ht="15" customHeight="1" x14ac:dyDescent="0.3">
      <c r="B561" s="135">
        <v>6</v>
      </c>
      <c r="E561" s="127">
        <v>1</v>
      </c>
      <c r="F561" s="128" t="s">
        <v>305</v>
      </c>
      <c r="G561" s="128" t="s">
        <v>363</v>
      </c>
      <c r="H561" s="129">
        <v>1282.5</v>
      </c>
      <c r="I561" s="129">
        <v>0</v>
      </c>
      <c r="J561" s="130">
        <f t="shared" si="20"/>
        <v>1282.5</v>
      </c>
    </row>
    <row r="562" spans="2:10" ht="15" customHeight="1" x14ac:dyDescent="0.3">
      <c r="B562" s="135">
        <v>6</v>
      </c>
      <c r="E562" s="127">
        <v>1</v>
      </c>
      <c r="F562" s="128" t="s">
        <v>305</v>
      </c>
      <c r="G562" s="128" t="s">
        <v>363</v>
      </c>
      <c r="H562" s="129">
        <v>665</v>
      </c>
      <c r="I562" s="129">
        <v>0</v>
      </c>
      <c r="J562" s="130">
        <f t="shared" si="20"/>
        <v>665</v>
      </c>
    </row>
    <row r="563" spans="2:10" ht="15" customHeight="1" x14ac:dyDescent="0.3">
      <c r="B563" s="135">
        <v>6</v>
      </c>
      <c r="E563" s="127">
        <v>1</v>
      </c>
      <c r="F563" s="128" t="s">
        <v>305</v>
      </c>
      <c r="G563" s="128" t="s">
        <v>363</v>
      </c>
      <c r="H563" s="129">
        <v>546.25</v>
      </c>
      <c r="I563" s="129">
        <v>0</v>
      </c>
      <c r="J563" s="130">
        <f t="shared" si="20"/>
        <v>546.25</v>
      </c>
    </row>
    <row r="564" spans="2:10" ht="15" customHeight="1" x14ac:dyDescent="0.3">
      <c r="B564" s="135">
        <v>6</v>
      </c>
      <c r="E564" s="127">
        <v>1</v>
      </c>
      <c r="F564" s="128" t="s">
        <v>305</v>
      </c>
      <c r="G564" s="128" t="s">
        <v>363</v>
      </c>
      <c r="H564" s="129">
        <v>617.5</v>
      </c>
      <c r="I564" s="129">
        <v>0</v>
      </c>
      <c r="J564" s="130">
        <f t="shared" si="20"/>
        <v>617.5</v>
      </c>
    </row>
    <row r="565" spans="2:10" ht="15" customHeight="1" x14ac:dyDescent="0.3">
      <c r="B565" s="135">
        <v>6</v>
      </c>
      <c r="E565" s="127">
        <v>1</v>
      </c>
      <c r="F565" s="128" t="s">
        <v>305</v>
      </c>
      <c r="G565" s="128" t="s">
        <v>363</v>
      </c>
      <c r="H565" s="129">
        <v>356.25</v>
      </c>
      <c r="I565" s="129">
        <v>0</v>
      </c>
      <c r="J565" s="130">
        <f t="shared" si="20"/>
        <v>356.25</v>
      </c>
    </row>
    <row r="566" spans="2:10" ht="15" customHeight="1" x14ac:dyDescent="0.3">
      <c r="B566" s="135">
        <v>6</v>
      </c>
      <c r="E566" s="127">
        <v>1</v>
      </c>
      <c r="F566" s="128" t="s">
        <v>305</v>
      </c>
      <c r="G566" s="128" t="s">
        <v>363</v>
      </c>
      <c r="H566" s="129">
        <v>1068.75</v>
      </c>
      <c r="I566" s="129">
        <v>0</v>
      </c>
      <c r="J566" s="130">
        <f t="shared" si="20"/>
        <v>1068.75</v>
      </c>
    </row>
    <row r="567" spans="2:10" ht="15" customHeight="1" x14ac:dyDescent="0.3">
      <c r="B567" s="135">
        <v>6</v>
      </c>
      <c r="E567" s="127">
        <v>1</v>
      </c>
      <c r="F567" s="128" t="s">
        <v>305</v>
      </c>
      <c r="G567" s="128" t="s">
        <v>363</v>
      </c>
      <c r="H567" s="129">
        <v>950</v>
      </c>
      <c r="I567" s="129">
        <v>0</v>
      </c>
      <c r="J567" s="130">
        <f t="shared" si="20"/>
        <v>950</v>
      </c>
    </row>
    <row r="568" spans="2:10" ht="15" customHeight="1" x14ac:dyDescent="0.3">
      <c r="B568" s="135">
        <v>6</v>
      </c>
      <c r="E568" s="127">
        <v>1</v>
      </c>
      <c r="F568" s="128" t="s">
        <v>254</v>
      </c>
      <c r="G568" s="128" t="s">
        <v>278</v>
      </c>
      <c r="H568" s="129">
        <v>1500</v>
      </c>
      <c r="I568" s="129">
        <v>0</v>
      </c>
      <c r="J568" s="130">
        <f t="shared" si="20"/>
        <v>1500</v>
      </c>
    </row>
    <row r="569" spans="2:10" ht="15" customHeight="1" x14ac:dyDescent="0.3">
      <c r="B569" s="135">
        <v>6</v>
      </c>
      <c r="E569" s="127">
        <v>3</v>
      </c>
      <c r="F569" s="128" t="s">
        <v>364</v>
      </c>
      <c r="G569" s="128" t="s">
        <v>2</v>
      </c>
      <c r="H569" s="129">
        <v>700</v>
      </c>
      <c r="I569" s="129">
        <v>0</v>
      </c>
      <c r="J569" s="130">
        <f t="shared" si="20"/>
        <v>700</v>
      </c>
    </row>
    <row r="570" spans="2:10" ht="15" customHeight="1" x14ac:dyDescent="0.3">
      <c r="B570" s="135">
        <v>6</v>
      </c>
      <c r="E570" s="127">
        <v>3</v>
      </c>
      <c r="F570" s="128" t="s">
        <v>365</v>
      </c>
      <c r="G570" s="128" t="s">
        <v>2</v>
      </c>
      <c r="H570" s="129">
        <v>1460</v>
      </c>
      <c r="I570" s="129">
        <v>0</v>
      </c>
      <c r="J570" s="130">
        <f t="shared" si="20"/>
        <v>1460</v>
      </c>
    </row>
    <row r="571" spans="2:10" ht="15" customHeight="1" x14ac:dyDescent="0.3">
      <c r="B571" s="135">
        <v>6</v>
      </c>
      <c r="E571" s="127">
        <v>3</v>
      </c>
      <c r="F571" s="128" t="s">
        <v>366</v>
      </c>
      <c r="G571" s="128" t="s">
        <v>367</v>
      </c>
      <c r="H571" s="129">
        <v>1400.8</v>
      </c>
      <c r="I571" s="129">
        <v>0</v>
      </c>
      <c r="J571" s="130">
        <f t="shared" si="20"/>
        <v>1400.8</v>
      </c>
    </row>
    <row r="572" spans="2:10" ht="15" customHeight="1" x14ac:dyDescent="0.3">
      <c r="B572" s="135">
        <v>6</v>
      </c>
      <c r="E572" s="127">
        <v>6</v>
      </c>
      <c r="F572" s="128" t="s">
        <v>368</v>
      </c>
      <c r="G572" s="128" t="s">
        <v>369</v>
      </c>
      <c r="H572" s="129">
        <v>2776.29</v>
      </c>
      <c r="I572" s="129">
        <v>0</v>
      </c>
      <c r="J572" s="130">
        <f t="shared" si="20"/>
        <v>2776.29</v>
      </c>
    </row>
    <row r="573" spans="2:10" ht="15" customHeight="1" x14ac:dyDescent="0.3">
      <c r="B573" s="135">
        <v>6</v>
      </c>
      <c r="E573" s="127">
        <v>6</v>
      </c>
      <c r="F573" s="128" t="s">
        <v>264</v>
      </c>
      <c r="G573" s="128" t="s">
        <v>370</v>
      </c>
      <c r="H573" s="129">
        <v>150.44999999999999</v>
      </c>
      <c r="I573" s="129">
        <v>0</v>
      </c>
      <c r="J573" s="130">
        <f t="shared" si="20"/>
        <v>150.44999999999999</v>
      </c>
    </row>
    <row r="574" spans="2:10" ht="15" customHeight="1" x14ac:dyDescent="0.3">
      <c r="B574" s="135">
        <v>6</v>
      </c>
      <c r="E574" s="127">
        <v>6</v>
      </c>
      <c r="F574" s="128" t="s">
        <v>264</v>
      </c>
      <c r="G574" s="128" t="s">
        <v>371</v>
      </c>
      <c r="H574" s="129">
        <v>404.16</v>
      </c>
      <c r="I574" s="129">
        <v>0</v>
      </c>
      <c r="J574" s="130">
        <f t="shared" si="20"/>
        <v>404.16</v>
      </c>
    </row>
    <row r="575" spans="2:10" ht="15" customHeight="1" x14ac:dyDescent="0.3">
      <c r="B575" s="135">
        <v>6</v>
      </c>
      <c r="E575" s="127">
        <v>6</v>
      </c>
      <c r="F575" s="128" t="s">
        <v>264</v>
      </c>
      <c r="G575" s="128" t="s">
        <v>372</v>
      </c>
      <c r="H575" s="129">
        <v>235.99</v>
      </c>
      <c r="I575" s="129">
        <v>0</v>
      </c>
      <c r="J575" s="130">
        <f t="shared" si="20"/>
        <v>235.99</v>
      </c>
    </row>
    <row r="576" spans="2:10" ht="15" customHeight="1" x14ac:dyDescent="0.3">
      <c r="B576" s="135">
        <v>6</v>
      </c>
      <c r="E576" s="127">
        <v>6</v>
      </c>
      <c r="F576" s="128" t="s">
        <v>264</v>
      </c>
      <c r="G576" s="128" t="s">
        <v>373</v>
      </c>
      <c r="H576" s="129">
        <v>-353.98</v>
      </c>
      <c r="I576" s="129">
        <v>0</v>
      </c>
      <c r="J576" s="130">
        <f t="shared" si="20"/>
        <v>-353.98</v>
      </c>
    </row>
    <row r="577" spans="2:10" ht="15" customHeight="1" x14ac:dyDescent="0.3">
      <c r="B577" s="135">
        <v>6</v>
      </c>
      <c r="E577" s="127">
        <v>6</v>
      </c>
      <c r="F577" s="128" t="s">
        <v>264</v>
      </c>
      <c r="G577" s="128" t="s">
        <v>374</v>
      </c>
      <c r="H577" s="129">
        <v>-1.65</v>
      </c>
      <c r="I577" s="129">
        <v>0</v>
      </c>
      <c r="J577" s="130">
        <f t="shared" si="20"/>
        <v>-1.65</v>
      </c>
    </row>
    <row r="578" spans="2:10" ht="15" customHeight="1" x14ac:dyDescent="0.3">
      <c r="B578" s="135">
        <v>6</v>
      </c>
      <c r="E578" s="127">
        <v>6</v>
      </c>
      <c r="F578" s="128" t="s">
        <v>264</v>
      </c>
      <c r="G578" s="128" t="s">
        <v>375</v>
      </c>
      <c r="H578" s="129">
        <v>100</v>
      </c>
      <c r="I578" s="129">
        <v>0</v>
      </c>
      <c r="J578" s="130">
        <f t="shared" si="20"/>
        <v>100</v>
      </c>
    </row>
    <row r="579" spans="2:10" ht="15" customHeight="1" x14ac:dyDescent="0.3">
      <c r="B579" s="135">
        <v>6</v>
      </c>
      <c r="E579" s="127">
        <v>6</v>
      </c>
      <c r="F579" s="128" t="s">
        <v>264</v>
      </c>
      <c r="G579" s="128" t="s">
        <v>376</v>
      </c>
      <c r="H579" s="129">
        <v>85.7</v>
      </c>
      <c r="I579" s="129">
        <v>0</v>
      </c>
      <c r="J579" s="130">
        <f t="shared" si="20"/>
        <v>85.7</v>
      </c>
    </row>
    <row r="580" spans="2:10" ht="15" customHeight="1" x14ac:dyDescent="0.3">
      <c r="B580" s="135">
        <v>6</v>
      </c>
      <c r="E580" s="127">
        <v>6</v>
      </c>
      <c r="F580" s="128" t="s">
        <v>264</v>
      </c>
      <c r="G580" s="128" t="s">
        <v>377</v>
      </c>
      <c r="H580" s="129">
        <v>179.7</v>
      </c>
      <c r="I580" s="129">
        <v>0</v>
      </c>
      <c r="J580" s="130">
        <f t="shared" si="20"/>
        <v>179.7</v>
      </c>
    </row>
    <row r="581" spans="2:10" ht="15" customHeight="1" x14ac:dyDescent="0.3">
      <c r="B581" s="135">
        <v>6</v>
      </c>
      <c r="E581" s="127">
        <v>6</v>
      </c>
      <c r="F581" s="128" t="s">
        <v>264</v>
      </c>
      <c r="G581" s="128" t="s">
        <v>378</v>
      </c>
      <c r="H581" s="129">
        <v>1329.71</v>
      </c>
      <c r="I581" s="129">
        <v>0</v>
      </c>
      <c r="J581" s="130">
        <f t="shared" si="20"/>
        <v>1329.71</v>
      </c>
    </row>
    <row r="582" spans="2:10" ht="15" customHeight="1" x14ac:dyDescent="0.3">
      <c r="B582" s="135">
        <v>6</v>
      </c>
      <c r="E582" s="127">
        <v>6</v>
      </c>
      <c r="F582" s="128" t="s">
        <v>264</v>
      </c>
      <c r="G582" s="128" t="s">
        <v>379</v>
      </c>
      <c r="H582" s="129">
        <v>90.75</v>
      </c>
      <c r="I582" s="129">
        <v>0</v>
      </c>
      <c r="J582" s="130">
        <f t="shared" si="20"/>
        <v>90.75</v>
      </c>
    </row>
    <row r="583" spans="2:10" ht="15" customHeight="1" x14ac:dyDescent="0.3">
      <c r="B583" s="135">
        <v>6</v>
      </c>
      <c r="E583" s="127">
        <v>6</v>
      </c>
      <c r="F583" s="128" t="s">
        <v>264</v>
      </c>
      <c r="G583" s="128" t="s">
        <v>380</v>
      </c>
      <c r="H583" s="129">
        <v>51.9</v>
      </c>
      <c r="I583" s="129">
        <v>0</v>
      </c>
      <c r="J583" s="130">
        <f t="shared" si="20"/>
        <v>51.9</v>
      </c>
    </row>
    <row r="584" spans="2:10" ht="15" customHeight="1" x14ac:dyDescent="0.3">
      <c r="B584" s="135">
        <v>6</v>
      </c>
      <c r="E584" s="127">
        <v>6</v>
      </c>
      <c r="F584" s="128" t="s">
        <v>264</v>
      </c>
      <c r="G584" s="128" t="s">
        <v>381</v>
      </c>
      <c r="H584" s="129">
        <v>40.85</v>
      </c>
      <c r="I584" s="129">
        <v>0</v>
      </c>
      <c r="J584" s="130">
        <f t="shared" si="20"/>
        <v>40.85</v>
      </c>
    </row>
    <row r="585" spans="2:10" ht="15" customHeight="1" x14ac:dyDescent="0.3">
      <c r="B585" s="135">
        <v>6</v>
      </c>
      <c r="E585" s="127">
        <v>6</v>
      </c>
      <c r="F585" s="128" t="s">
        <v>264</v>
      </c>
      <c r="G585" s="128" t="s">
        <v>382</v>
      </c>
      <c r="H585" s="129">
        <v>1938.43</v>
      </c>
      <c r="I585" s="129">
        <v>0</v>
      </c>
      <c r="J585" s="130">
        <f t="shared" si="20"/>
        <v>1938.43</v>
      </c>
    </row>
    <row r="586" spans="2:10" ht="15" customHeight="1" x14ac:dyDescent="0.3">
      <c r="B586" s="135">
        <v>6</v>
      </c>
      <c r="E586" s="127">
        <v>6</v>
      </c>
      <c r="F586" s="128" t="s">
        <v>264</v>
      </c>
      <c r="G586" s="128" t="s">
        <v>383</v>
      </c>
      <c r="H586" s="129">
        <v>8551.6200000000008</v>
      </c>
      <c r="I586" s="129">
        <v>0</v>
      </c>
      <c r="J586" s="130">
        <f t="shared" si="20"/>
        <v>8551.6200000000008</v>
      </c>
    </row>
    <row r="587" spans="2:10" ht="15" customHeight="1" x14ac:dyDescent="0.3">
      <c r="B587" s="135">
        <v>6</v>
      </c>
      <c r="E587" s="127">
        <v>6</v>
      </c>
      <c r="F587" s="128" t="s">
        <v>264</v>
      </c>
      <c r="G587" s="128" t="s">
        <v>384</v>
      </c>
      <c r="H587" s="129">
        <v>3384.41</v>
      </c>
      <c r="I587" s="129">
        <v>0</v>
      </c>
      <c r="J587" s="130">
        <f t="shared" si="20"/>
        <v>3384.41</v>
      </c>
    </row>
    <row r="588" spans="2:10" ht="15" customHeight="1" x14ac:dyDescent="0.3">
      <c r="B588" s="135">
        <v>6</v>
      </c>
      <c r="E588" s="127">
        <v>6</v>
      </c>
      <c r="F588" s="128" t="s">
        <v>264</v>
      </c>
      <c r="G588" s="128" t="s">
        <v>385</v>
      </c>
      <c r="H588" s="129">
        <v>1400.76</v>
      </c>
      <c r="I588" s="129">
        <v>0</v>
      </c>
      <c r="J588" s="130">
        <f t="shared" si="20"/>
        <v>1400.76</v>
      </c>
    </row>
    <row r="589" spans="2:10" ht="15" customHeight="1" x14ac:dyDescent="0.3">
      <c r="B589" s="135">
        <v>6</v>
      </c>
      <c r="E589" s="127">
        <v>6</v>
      </c>
      <c r="F589" s="128" t="s">
        <v>264</v>
      </c>
      <c r="G589" s="128" t="s">
        <v>386</v>
      </c>
      <c r="H589" s="129">
        <v>570.46</v>
      </c>
      <c r="I589" s="129">
        <v>0</v>
      </c>
      <c r="J589" s="130">
        <f t="shared" si="20"/>
        <v>570.46</v>
      </c>
    </row>
    <row r="590" spans="2:10" ht="15" customHeight="1" x14ac:dyDescent="0.3">
      <c r="B590" s="135">
        <v>6</v>
      </c>
      <c r="E590" s="127">
        <v>6</v>
      </c>
      <c r="F590" s="128" t="s">
        <v>264</v>
      </c>
      <c r="G590" s="128" t="s">
        <v>387</v>
      </c>
      <c r="H590" s="129">
        <v>2871.09</v>
      </c>
      <c r="I590" s="129">
        <v>0</v>
      </c>
      <c r="J590" s="130">
        <f t="shared" ref="J590:J620" si="21">+H590-I590</f>
        <v>2871.09</v>
      </c>
    </row>
    <row r="591" spans="2:10" ht="15" customHeight="1" x14ac:dyDescent="0.3">
      <c r="B591" s="135">
        <v>6</v>
      </c>
      <c r="E591" s="127">
        <v>6</v>
      </c>
      <c r="F591" s="128" t="s">
        <v>264</v>
      </c>
      <c r="G591" s="128" t="s">
        <v>384</v>
      </c>
      <c r="H591" s="129">
        <v>2538.31</v>
      </c>
      <c r="I591" s="129">
        <v>0</v>
      </c>
      <c r="J591" s="130">
        <f t="shared" si="21"/>
        <v>2538.31</v>
      </c>
    </row>
    <row r="592" spans="2:10" ht="15" customHeight="1" x14ac:dyDescent="0.3">
      <c r="B592" s="135">
        <v>6</v>
      </c>
      <c r="E592" s="127">
        <v>6</v>
      </c>
      <c r="F592" s="128" t="s">
        <v>264</v>
      </c>
      <c r="G592" s="128" t="s">
        <v>377</v>
      </c>
      <c r="H592" s="129">
        <v>1185.1199999999999</v>
      </c>
      <c r="I592" s="129">
        <v>0</v>
      </c>
      <c r="J592" s="130">
        <f t="shared" si="21"/>
        <v>1185.1199999999999</v>
      </c>
    </row>
    <row r="593" spans="2:10" ht="15" customHeight="1" x14ac:dyDescent="0.3">
      <c r="B593" s="135">
        <v>6</v>
      </c>
      <c r="E593" s="127">
        <v>6</v>
      </c>
      <c r="F593" s="128" t="s">
        <v>264</v>
      </c>
      <c r="G593" s="128" t="s">
        <v>388</v>
      </c>
      <c r="H593" s="129">
        <v>2792.31</v>
      </c>
      <c r="I593" s="129">
        <v>0</v>
      </c>
      <c r="J593" s="130">
        <f t="shared" si="21"/>
        <v>2792.31</v>
      </c>
    </row>
    <row r="594" spans="2:10" ht="15" customHeight="1" x14ac:dyDescent="0.3">
      <c r="B594" s="135">
        <v>6</v>
      </c>
      <c r="E594" s="127">
        <v>6</v>
      </c>
      <c r="F594" s="128" t="s">
        <v>264</v>
      </c>
      <c r="G594" s="128" t="s">
        <v>389</v>
      </c>
      <c r="H594" s="129">
        <v>9937.5300000000007</v>
      </c>
      <c r="I594" s="129">
        <v>0</v>
      </c>
      <c r="J594" s="130">
        <f t="shared" si="21"/>
        <v>9937.5300000000007</v>
      </c>
    </row>
    <row r="595" spans="2:10" ht="15" customHeight="1" x14ac:dyDescent="0.3">
      <c r="B595" s="135">
        <v>6</v>
      </c>
      <c r="E595" s="127">
        <v>6</v>
      </c>
      <c r="F595" s="128" t="s">
        <v>264</v>
      </c>
      <c r="G595" s="128" t="s">
        <v>390</v>
      </c>
      <c r="H595" s="129">
        <v>5549.41</v>
      </c>
      <c r="I595" s="129">
        <v>0</v>
      </c>
      <c r="J595" s="130">
        <f t="shared" si="21"/>
        <v>5549.41</v>
      </c>
    </row>
    <row r="596" spans="2:10" ht="15" customHeight="1" x14ac:dyDescent="0.3">
      <c r="B596" s="135">
        <v>6</v>
      </c>
      <c r="E596" s="127">
        <v>6</v>
      </c>
      <c r="F596" s="128" t="s">
        <v>253</v>
      </c>
      <c r="G596" s="128" t="s">
        <v>391</v>
      </c>
      <c r="H596" s="129">
        <v>5400</v>
      </c>
      <c r="I596" s="129">
        <v>540</v>
      </c>
      <c r="J596" s="130">
        <f t="shared" si="21"/>
        <v>4860</v>
      </c>
    </row>
    <row r="597" spans="2:10" ht="15" customHeight="1" x14ac:dyDescent="0.3">
      <c r="B597" s="135">
        <v>6</v>
      </c>
      <c r="E597" s="127">
        <v>6</v>
      </c>
      <c r="F597" s="128" t="s">
        <v>253</v>
      </c>
      <c r="G597" s="128" t="s">
        <v>392</v>
      </c>
      <c r="H597" s="129">
        <v>6380</v>
      </c>
      <c r="I597" s="129">
        <v>638</v>
      </c>
      <c r="J597" s="130">
        <f t="shared" si="21"/>
        <v>5742</v>
      </c>
    </row>
    <row r="598" spans="2:10" ht="15" customHeight="1" x14ac:dyDescent="0.3">
      <c r="B598" s="135">
        <v>6</v>
      </c>
      <c r="E598" s="127">
        <v>6</v>
      </c>
      <c r="F598" s="128" t="s">
        <v>253</v>
      </c>
      <c r="G598" s="128" t="s">
        <v>393</v>
      </c>
      <c r="H598" s="129">
        <v>4333.33</v>
      </c>
      <c r="I598" s="129">
        <v>433.33300000000003</v>
      </c>
      <c r="J598" s="130">
        <f t="shared" si="21"/>
        <v>3899.9969999999998</v>
      </c>
    </row>
    <row r="599" spans="2:10" ht="15" customHeight="1" x14ac:dyDescent="0.3">
      <c r="B599" s="135">
        <v>6</v>
      </c>
      <c r="E599" s="127">
        <v>6</v>
      </c>
      <c r="F599" s="128" t="s">
        <v>253</v>
      </c>
      <c r="G599" s="128" t="s">
        <v>394</v>
      </c>
      <c r="H599" s="129">
        <v>4500</v>
      </c>
      <c r="I599" s="129">
        <v>450</v>
      </c>
      <c r="J599" s="130">
        <f t="shared" si="21"/>
        <v>4050</v>
      </c>
    </row>
    <row r="600" spans="2:10" ht="15" customHeight="1" x14ac:dyDescent="0.3">
      <c r="B600" s="135">
        <v>6</v>
      </c>
      <c r="E600" s="127">
        <v>6</v>
      </c>
      <c r="F600" s="128" t="s">
        <v>253</v>
      </c>
      <c r="G600" s="128" t="s">
        <v>395</v>
      </c>
      <c r="H600" s="129">
        <v>4500</v>
      </c>
      <c r="I600" s="129">
        <v>450</v>
      </c>
      <c r="J600" s="130">
        <f t="shared" si="21"/>
        <v>4050</v>
      </c>
    </row>
    <row r="601" spans="2:10" ht="15" customHeight="1" x14ac:dyDescent="0.3">
      <c r="B601" s="135">
        <v>6</v>
      </c>
      <c r="E601" s="127">
        <v>7</v>
      </c>
      <c r="F601" s="128" t="s">
        <v>396</v>
      </c>
      <c r="G601" s="128" t="s">
        <v>397</v>
      </c>
      <c r="H601" s="129">
        <v>255</v>
      </c>
      <c r="I601" s="129">
        <v>0</v>
      </c>
      <c r="J601" s="130">
        <f t="shared" si="21"/>
        <v>255</v>
      </c>
    </row>
    <row r="602" spans="2:10" ht="15" customHeight="1" x14ac:dyDescent="0.3">
      <c r="B602" s="135">
        <v>6</v>
      </c>
      <c r="E602" s="127">
        <v>8</v>
      </c>
      <c r="F602" s="128" t="s">
        <v>398</v>
      </c>
      <c r="G602" s="128" t="s">
        <v>399</v>
      </c>
      <c r="H602" s="129">
        <v>8280</v>
      </c>
      <c r="I602" s="129">
        <v>0</v>
      </c>
      <c r="J602" s="130">
        <f t="shared" si="21"/>
        <v>8280</v>
      </c>
    </row>
    <row r="603" spans="2:10" ht="15" customHeight="1" x14ac:dyDescent="0.3">
      <c r="B603" s="135">
        <v>6</v>
      </c>
      <c r="E603" s="127">
        <v>8</v>
      </c>
      <c r="F603" s="128" t="s">
        <v>398</v>
      </c>
      <c r="G603" s="128" t="s">
        <v>399</v>
      </c>
      <c r="H603" s="129">
        <v>8280</v>
      </c>
      <c r="I603" s="129">
        <v>0</v>
      </c>
      <c r="J603" s="130">
        <f t="shared" si="21"/>
        <v>8280</v>
      </c>
    </row>
    <row r="604" spans="2:10" ht="15" customHeight="1" x14ac:dyDescent="0.3">
      <c r="B604" s="135">
        <v>6</v>
      </c>
      <c r="E604" s="127">
        <v>8</v>
      </c>
      <c r="F604" s="128" t="s">
        <v>398</v>
      </c>
      <c r="G604" s="128" t="s">
        <v>399</v>
      </c>
      <c r="H604" s="129">
        <v>8280</v>
      </c>
      <c r="I604" s="129">
        <v>0</v>
      </c>
      <c r="J604" s="130">
        <f t="shared" si="21"/>
        <v>8280</v>
      </c>
    </row>
    <row r="605" spans="2:10" ht="15" customHeight="1" x14ac:dyDescent="0.3">
      <c r="B605" s="135">
        <v>6</v>
      </c>
      <c r="E605" s="127">
        <v>8</v>
      </c>
      <c r="F605" s="128" t="s">
        <v>398</v>
      </c>
      <c r="G605" s="128" t="s">
        <v>399</v>
      </c>
      <c r="H605" s="129">
        <v>8280</v>
      </c>
      <c r="I605" s="129">
        <v>0</v>
      </c>
      <c r="J605" s="130">
        <f t="shared" si="21"/>
        <v>8280</v>
      </c>
    </row>
    <row r="606" spans="2:10" ht="15" customHeight="1" x14ac:dyDescent="0.3">
      <c r="B606" s="135">
        <v>6</v>
      </c>
      <c r="E606" s="127">
        <v>10</v>
      </c>
      <c r="F606" s="128" t="s">
        <v>324</v>
      </c>
      <c r="G606" s="128" t="s">
        <v>400</v>
      </c>
      <c r="H606" s="129">
        <v>190</v>
      </c>
      <c r="I606" s="129">
        <v>0</v>
      </c>
      <c r="J606" s="130">
        <f t="shared" si="21"/>
        <v>190</v>
      </c>
    </row>
    <row r="607" spans="2:10" ht="15" customHeight="1" x14ac:dyDescent="0.3">
      <c r="B607" s="135">
        <v>6</v>
      </c>
      <c r="E607" s="127">
        <v>15</v>
      </c>
      <c r="F607" s="128" t="s">
        <v>401</v>
      </c>
      <c r="G607" s="128" t="s">
        <v>402</v>
      </c>
      <c r="H607" s="129">
        <v>2177.84</v>
      </c>
      <c r="I607" s="129">
        <v>0</v>
      </c>
      <c r="J607" s="130">
        <f t="shared" si="21"/>
        <v>2177.84</v>
      </c>
    </row>
    <row r="608" spans="2:10" ht="15" customHeight="1" x14ac:dyDescent="0.3">
      <c r="B608" s="135">
        <v>6</v>
      </c>
      <c r="E608" s="127">
        <v>16</v>
      </c>
      <c r="F608" s="128" t="s">
        <v>275</v>
      </c>
      <c r="G608" s="128" t="s">
        <v>331</v>
      </c>
      <c r="H608" s="129">
        <v>37.69</v>
      </c>
      <c r="I608" s="129">
        <v>0</v>
      </c>
      <c r="J608" s="130">
        <f t="shared" si="21"/>
        <v>37.69</v>
      </c>
    </row>
    <row r="609" spans="2:10" ht="15" customHeight="1" x14ac:dyDescent="0.3">
      <c r="B609" s="135">
        <v>6</v>
      </c>
      <c r="E609" s="127">
        <v>16</v>
      </c>
      <c r="F609" s="128" t="s">
        <v>275</v>
      </c>
      <c r="G609" s="128" t="s">
        <v>331</v>
      </c>
      <c r="H609" s="129">
        <v>364.83</v>
      </c>
      <c r="I609" s="129">
        <v>0</v>
      </c>
      <c r="J609" s="130">
        <f t="shared" si="21"/>
        <v>364.83</v>
      </c>
    </row>
    <row r="610" spans="2:10" ht="15" customHeight="1" x14ac:dyDescent="0.3">
      <c r="B610" s="135">
        <v>6</v>
      </c>
      <c r="E610" s="127">
        <v>16</v>
      </c>
      <c r="F610" s="128" t="s">
        <v>275</v>
      </c>
      <c r="G610" s="128" t="s">
        <v>331</v>
      </c>
      <c r="H610" s="129">
        <v>1126.3800000000001</v>
      </c>
      <c r="I610" s="129">
        <v>0</v>
      </c>
      <c r="J610" s="130">
        <f t="shared" si="21"/>
        <v>1126.3800000000001</v>
      </c>
    </row>
    <row r="611" spans="2:10" ht="15" customHeight="1" x14ac:dyDescent="0.3">
      <c r="B611" s="135">
        <v>6</v>
      </c>
      <c r="E611" s="127">
        <v>16</v>
      </c>
      <c r="F611" s="128" t="s">
        <v>275</v>
      </c>
      <c r="G611" s="128" t="s">
        <v>331</v>
      </c>
      <c r="H611" s="129">
        <v>2229.42</v>
      </c>
      <c r="I611" s="129">
        <v>0</v>
      </c>
      <c r="J611" s="130">
        <f t="shared" si="21"/>
        <v>2229.42</v>
      </c>
    </row>
    <row r="612" spans="2:10" ht="15" customHeight="1" x14ac:dyDescent="0.3">
      <c r="B612" s="135">
        <v>6</v>
      </c>
      <c r="E612" s="127">
        <v>16</v>
      </c>
      <c r="F612" s="128" t="s">
        <v>275</v>
      </c>
      <c r="G612" s="128" t="s">
        <v>331</v>
      </c>
      <c r="H612" s="129">
        <v>127.41</v>
      </c>
      <c r="I612" s="129">
        <v>0</v>
      </c>
      <c r="J612" s="130">
        <f t="shared" si="21"/>
        <v>127.41</v>
      </c>
    </row>
    <row r="613" spans="2:10" ht="15" customHeight="1" x14ac:dyDescent="0.3">
      <c r="B613" s="135">
        <v>6</v>
      </c>
      <c r="E613" s="127">
        <v>16</v>
      </c>
      <c r="F613" s="128" t="s">
        <v>275</v>
      </c>
      <c r="G613" s="128" t="s">
        <v>331</v>
      </c>
      <c r="H613" s="129">
        <v>2982.84</v>
      </c>
      <c r="I613" s="129">
        <v>0</v>
      </c>
      <c r="J613" s="130">
        <f t="shared" si="21"/>
        <v>2982.84</v>
      </c>
    </row>
    <row r="614" spans="2:10" ht="15" customHeight="1" x14ac:dyDescent="0.3">
      <c r="B614" s="135">
        <v>6</v>
      </c>
      <c r="E614" s="127">
        <v>16</v>
      </c>
      <c r="F614" s="128" t="s">
        <v>275</v>
      </c>
      <c r="G614" s="128" t="s">
        <v>331</v>
      </c>
      <c r="H614" s="129">
        <v>567.76</v>
      </c>
      <c r="I614" s="129">
        <v>0</v>
      </c>
      <c r="J614" s="130">
        <f t="shared" si="21"/>
        <v>567.76</v>
      </c>
    </row>
    <row r="615" spans="2:10" ht="15" customHeight="1" x14ac:dyDescent="0.3">
      <c r="B615" s="135">
        <v>6</v>
      </c>
      <c r="E615" s="127">
        <v>16</v>
      </c>
      <c r="F615" s="128" t="s">
        <v>275</v>
      </c>
      <c r="G615" s="128" t="s">
        <v>331</v>
      </c>
      <c r="H615" s="129">
        <v>3269.15</v>
      </c>
      <c r="I615" s="129">
        <v>0</v>
      </c>
      <c r="J615" s="130">
        <f t="shared" si="21"/>
        <v>3269.15</v>
      </c>
    </row>
    <row r="616" spans="2:10" ht="15" customHeight="1" x14ac:dyDescent="0.3">
      <c r="B616" s="135">
        <v>6</v>
      </c>
      <c r="E616" s="127">
        <v>16</v>
      </c>
      <c r="F616" s="128" t="s">
        <v>275</v>
      </c>
      <c r="G616" s="128" t="s">
        <v>331</v>
      </c>
      <c r="H616" s="129">
        <v>1307.1199999999999</v>
      </c>
      <c r="I616" s="129">
        <v>0</v>
      </c>
      <c r="J616" s="130">
        <f t="shared" si="21"/>
        <v>1307.1199999999999</v>
      </c>
    </row>
    <row r="617" spans="2:10" ht="15" customHeight="1" x14ac:dyDescent="0.3">
      <c r="B617" s="135">
        <v>6</v>
      </c>
      <c r="E617" s="127">
        <v>16</v>
      </c>
      <c r="F617" s="128" t="s">
        <v>275</v>
      </c>
      <c r="G617" s="128" t="s">
        <v>331</v>
      </c>
      <c r="H617" s="129">
        <v>248.92</v>
      </c>
      <c r="I617" s="129">
        <v>0</v>
      </c>
      <c r="J617" s="130">
        <f t="shared" si="21"/>
        <v>248.92</v>
      </c>
    </row>
    <row r="618" spans="2:10" ht="15" customHeight="1" x14ac:dyDescent="0.3">
      <c r="B618" s="135">
        <v>6</v>
      </c>
      <c r="E618" s="127">
        <v>16</v>
      </c>
      <c r="F618" s="128" t="s">
        <v>275</v>
      </c>
      <c r="G618" s="128" t="s">
        <v>331</v>
      </c>
      <c r="H618" s="129">
        <v>3498.37</v>
      </c>
      <c r="I618" s="129">
        <v>0</v>
      </c>
      <c r="J618" s="130">
        <f t="shared" si="21"/>
        <v>3498.37</v>
      </c>
    </row>
    <row r="619" spans="2:10" ht="15" customHeight="1" x14ac:dyDescent="0.3">
      <c r="B619" s="135">
        <v>6</v>
      </c>
      <c r="E619" s="127">
        <v>17</v>
      </c>
      <c r="F619" s="128" t="s">
        <v>332</v>
      </c>
      <c r="G619" s="128" t="s">
        <v>334</v>
      </c>
      <c r="H619" s="129">
        <v>3454.07</v>
      </c>
      <c r="I619" s="129">
        <v>0</v>
      </c>
      <c r="J619" s="130">
        <f t="shared" si="21"/>
        <v>3454.07</v>
      </c>
    </row>
    <row r="620" spans="2:10" ht="15" customHeight="1" x14ac:dyDescent="0.3">
      <c r="B620" s="135">
        <v>6</v>
      </c>
      <c r="E620" s="127">
        <v>17</v>
      </c>
      <c r="F620" s="128" t="s">
        <v>332</v>
      </c>
      <c r="G620" s="128" t="s">
        <v>334</v>
      </c>
      <c r="H620" s="129">
        <v>3454.07</v>
      </c>
      <c r="I620" s="129">
        <v>0</v>
      </c>
      <c r="J620" s="130">
        <f t="shared" si="21"/>
        <v>3454.07</v>
      </c>
    </row>
    <row r="621" spans="2:10" ht="15" customHeight="1" x14ac:dyDescent="0.3">
      <c r="B621" s="135">
        <v>6</v>
      </c>
      <c r="E621" s="127">
        <v>1</v>
      </c>
      <c r="F621" s="128" t="s">
        <v>261</v>
      </c>
      <c r="G621" s="128" t="s">
        <v>405</v>
      </c>
      <c r="H621" s="129">
        <v>10000</v>
      </c>
      <c r="I621" s="129">
        <v>0</v>
      </c>
      <c r="J621" s="130">
        <f t="shared" ref="J621:J638" si="22">+H621-I621</f>
        <v>10000</v>
      </c>
    </row>
    <row r="622" spans="2:10" ht="15" customHeight="1" x14ac:dyDescent="0.3">
      <c r="B622" s="135">
        <v>6</v>
      </c>
      <c r="E622" s="127">
        <v>1</v>
      </c>
      <c r="F622" s="128" t="s">
        <v>169</v>
      </c>
      <c r="G622" s="128" t="s">
        <v>406</v>
      </c>
      <c r="H622" s="129">
        <v>3888.8888888888887</v>
      </c>
      <c r="I622" s="129">
        <v>0</v>
      </c>
      <c r="J622" s="130">
        <f t="shared" si="22"/>
        <v>3888.8888888888887</v>
      </c>
    </row>
    <row r="623" spans="2:10" ht="15" customHeight="1" x14ac:dyDescent="0.3">
      <c r="B623" s="135">
        <v>6</v>
      </c>
      <c r="E623" s="127">
        <v>1</v>
      </c>
      <c r="F623" s="128" t="s">
        <v>172</v>
      </c>
      <c r="G623" s="128" t="s">
        <v>406</v>
      </c>
      <c r="H623" s="129">
        <v>3611.1111111111113</v>
      </c>
      <c r="I623" s="129">
        <v>0</v>
      </c>
      <c r="J623" s="130">
        <f t="shared" si="22"/>
        <v>3611.1111111111113</v>
      </c>
    </row>
    <row r="624" spans="2:10" ht="15" customHeight="1" x14ac:dyDescent="0.3">
      <c r="B624" s="135">
        <v>6</v>
      </c>
      <c r="E624" s="127">
        <v>1</v>
      </c>
      <c r="F624" s="128" t="s">
        <v>254</v>
      </c>
      <c r="G624" s="128" t="s">
        <v>278</v>
      </c>
      <c r="H624" s="129">
        <v>1500</v>
      </c>
      <c r="I624" s="129">
        <v>0</v>
      </c>
      <c r="J624" s="130">
        <f>+H624-I624</f>
        <v>1500</v>
      </c>
    </row>
    <row r="625" spans="2:13" ht="15" customHeight="1" x14ac:dyDescent="0.3">
      <c r="B625" s="135">
        <v>6</v>
      </c>
      <c r="E625" s="127">
        <v>2</v>
      </c>
      <c r="F625" s="128" t="s">
        <v>420</v>
      </c>
      <c r="G625" s="128" t="s">
        <v>268</v>
      </c>
      <c r="H625" s="129">
        <f>162.38+151.55+8346.08</f>
        <v>8660.01</v>
      </c>
      <c r="I625" s="129">
        <v>0</v>
      </c>
      <c r="J625" s="130">
        <f>+H625-I625</f>
        <v>8660.01</v>
      </c>
    </row>
    <row r="626" spans="2:13" ht="15" customHeight="1" x14ac:dyDescent="0.3">
      <c r="B626" s="135">
        <v>6</v>
      </c>
      <c r="E626" s="127">
        <v>3</v>
      </c>
      <c r="F626" s="128" t="s">
        <v>410</v>
      </c>
      <c r="G626" s="128" t="s">
        <v>411</v>
      </c>
      <c r="H626" s="129">
        <v>7200</v>
      </c>
      <c r="I626" s="129">
        <v>0</v>
      </c>
      <c r="J626" s="130">
        <f t="shared" si="22"/>
        <v>7200</v>
      </c>
    </row>
    <row r="627" spans="2:13" ht="15" customHeight="1" x14ac:dyDescent="0.3">
      <c r="B627" s="135">
        <v>6</v>
      </c>
      <c r="E627" s="127">
        <v>3</v>
      </c>
      <c r="F627" s="128" t="s">
        <v>413</v>
      </c>
      <c r="G627" s="128" t="s">
        <v>414</v>
      </c>
      <c r="H627" s="129">
        <v>102000</v>
      </c>
      <c r="I627" s="129">
        <v>10200</v>
      </c>
      <c r="J627" s="130">
        <f t="shared" si="22"/>
        <v>91800</v>
      </c>
    </row>
    <row r="628" spans="2:13" ht="15" customHeight="1" x14ac:dyDescent="0.3">
      <c r="B628" s="135">
        <v>6</v>
      </c>
      <c r="E628" s="127">
        <v>3</v>
      </c>
      <c r="F628" s="128" t="s">
        <v>415</v>
      </c>
      <c r="G628" s="128" t="s">
        <v>414</v>
      </c>
      <c r="H628" s="129">
        <v>1100</v>
      </c>
      <c r="I628" s="129">
        <v>0</v>
      </c>
      <c r="J628" s="130">
        <f t="shared" ref="J628:J629" si="23">+H628-I628</f>
        <v>1100</v>
      </c>
    </row>
    <row r="629" spans="2:13" ht="15" customHeight="1" x14ac:dyDescent="0.3">
      <c r="B629" s="135">
        <v>6</v>
      </c>
      <c r="E629" s="127">
        <v>6</v>
      </c>
      <c r="F629" s="128" t="s">
        <v>267</v>
      </c>
      <c r="G629" s="128" t="s">
        <v>268</v>
      </c>
      <c r="H629" s="129">
        <f>187.5+187.5+1836.82+625.5+2205.06+3801.43+3754.86+2946.72+2798.43</f>
        <v>18343.82</v>
      </c>
      <c r="I629" s="129">
        <v>0</v>
      </c>
      <c r="J629" s="130">
        <f t="shared" si="23"/>
        <v>18343.82</v>
      </c>
    </row>
    <row r="630" spans="2:13" ht="15" customHeight="1" x14ac:dyDescent="0.3">
      <c r="B630" s="135">
        <v>6</v>
      </c>
      <c r="E630" s="127">
        <v>7</v>
      </c>
      <c r="F630" s="128" t="s">
        <v>403</v>
      </c>
      <c r="G630" s="128" t="s">
        <v>404</v>
      </c>
      <c r="H630" s="129">
        <v>25000</v>
      </c>
      <c r="I630" s="129">
        <v>2500</v>
      </c>
      <c r="J630" s="130">
        <f t="shared" si="22"/>
        <v>22500</v>
      </c>
    </row>
    <row r="631" spans="2:13" ht="15" customHeight="1" x14ac:dyDescent="0.3">
      <c r="B631" s="135">
        <v>6</v>
      </c>
      <c r="E631" s="127">
        <v>8</v>
      </c>
      <c r="F631" s="128" t="s">
        <v>412</v>
      </c>
      <c r="G631" s="128" t="s">
        <v>399</v>
      </c>
      <c r="H631" s="129">
        <v>32935.400000000009</v>
      </c>
      <c r="I631" s="129">
        <v>0</v>
      </c>
      <c r="J631" s="130">
        <f t="shared" si="22"/>
        <v>32935.400000000009</v>
      </c>
    </row>
    <row r="632" spans="2:13" ht="15" customHeight="1" x14ac:dyDescent="0.3">
      <c r="B632" s="135">
        <v>6</v>
      </c>
      <c r="E632" s="127">
        <v>8</v>
      </c>
      <c r="F632" s="128" t="s">
        <v>190</v>
      </c>
      <c r="G632" s="128" t="s">
        <v>335</v>
      </c>
      <c r="H632" s="129">
        <v>48589.27</v>
      </c>
      <c r="I632" s="129">
        <v>0</v>
      </c>
      <c r="J632" s="130">
        <f t="shared" si="22"/>
        <v>48589.27</v>
      </c>
    </row>
    <row r="633" spans="2:13" ht="15" customHeight="1" x14ac:dyDescent="0.3">
      <c r="B633" s="135">
        <v>6</v>
      </c>
      <c r="E633" s="127">
        <v>14</v>
      </c>
      <c r="F633" s="128" t="s">
        <v>417</v>
      </c>
      <c r="G633" s="128" t="s">
        <v>418</v>
      </c>
      <c r="H633" s="129">
        <v>15000</v>
      </c>
      <c r="I633" s="129">
        <v>1500</v>
      </c>
      <c r="J633" s="130">
        <f t="shared" si="22"/>
        <v>13500</v>
      </c>
    </row>
    <row r="634" spans="2:13" ht="15" customHeight="1" x14ac:dyDescent="0.3">
      <c r="B634" s="135">
        <v>6</v>
      </c>
      <c r="E634" s="127">
        <v>15</v>
      </c>
      <c r="F634" s="128" t="s">
        <v>407</v>
      </c>
      <c r="G634" s="128" t="s">
        <v>408</v>
      </c>
      <c r="H634" s="129">
        <v>22490.02</v>
      </c>
      <c r="I634" s="129">
        <v>0</v>
      </c>
      <c r="J634" s="130">
        <f>+H634-I634</f>
        <v>22490.02</v>
      </c>
    </row>
    <row r="635" spans="2:13" ht="15" customHeight="1" x14ac:dyDescent="0.3">
      <c r="B635" s="135">
        <v>6</v>
      </c>
      <c r="E635" s="127">
        <v>15</v>
      </c>
      <c r="F635" s="128" t="s">
        <v>409</v>
      </c>
      <c r="G635" s="128" t="s">
        <v>408</v>
      </c>
      <c r="H635" s="129">
        <v>107476</v>
      </c>
      <c r="I635" s="129">
        <v>0</v>
      </c>
      <c r="J635" s="130">
        <f t="shared" si="22"/>
        <v>107476</v>
      </c>
    </row>
    <row r="636" spans="2:13" ht="15" customHeight="1" x14ac:dyDescent="0.3">
      <c r="B636" s="135">
        <v>6</v>
      </c>
      <c r="E636" s="127">
        <v>16</v>
      </c>
      <c r="F636" s="128" t="s">
        <v>419</v>
      </c>
      <c r="G636" s="128" t="s">
        <v>418</v>
      </c>
      <c r="H636" s="129">
        <v>46500</v>
      </c>
      <c r="I636" s="129">
        <v>4650</v>
      </c>
      <c r="J636" s="130">
        <f t="shared" si="22"/>
        <v>41850</v>
      </c>
    </row>
    <row r="637" spans="2:13" ht="15" customHeight="1" x14ac:dyDescent="0.3">
      <c r="B637" s="135">
        <v>6</v>
      </c>
      <c r="E637" s="127">
        <v>18</v>
      </c>
      <c r="F637" s="128" t="s">
        <v>6</v>
      </c>
      <c r="G637" s="128" t="s">
        <v>406</v>
      </c>
      <c r="H637" s="129">
        <v>16666.666666666668</v>
      </c>
      <c r="I637" s="129">
        <v>1666.666666666667</v>
      </c>
      <c r="J637" s="130">
        <f t="shared" si="22"/>
        <v>15000</v>
      </c>
    </row>
    <row r="638" spans="2:13" ht="15" customHeight="1" x14ac:dyDescent="0.3">
      <c r="B638" s="135">
        <v>6</v>
      </c>
      <c r="E638" s="127">
        <v>3</v>
      </c>
      <c r="F638" s="128" t="s">
        <v>416</v>
      </c>
      <c r="G638" s="128"/>
      <c r="H638" s="129">
        <v>50000</v>
      </c>
      <c r="I638" s="129">
        <v>5000</v>
      </c>
      <c r="J638" s="130">
        <f t="shared" si="22"/>
        <v>45000</v>
      </c>
    </row>
    <row r="639" spans="2:13" ht="15" customHeight="1" x14ac:dyDescent="0.3">
      <c r="B639" s="135">
        <v>7</v>
      </c>
      <c r="E639" s="127">
        <v>1</v>
      </c>
      <c r="F639" s="128" t="s">
        <v>352</v>
      </c>
      <c r="G639" s="128" t="s">
        <v>255</v>
      </c>
      <c r="H639" s="129">
        <v>817.83</v>
      </c>
      <c r="I639" s="129">
        <v>0</v>
      </c>
      <c r="J639" s="130">
        <f t="shared" ref="J639:J653" si="24">+H639-I639</f>
        <v>817.83</v>
      </c>
      <c r="M639" s="52">
        <v>10349</v>
      </c>
    </row>
    <row r="640" spans="2:13" ht="15" customHeight="1" x14ac:dyDescent="0.3">
      <c r="B640" s="135">
        <v>7</v>
      </c>
      <c r="E640" s="127">
        <v>1</v>
      </c>
      <c r="F640" s="128" t="s">
        <v>354</v>
      </c>
      <c r="G640" s="128" t="s">
        <v>255</v>
      </c>
      <c r="H640" s="129">
        <v>187.27</v>
      </c>
      <c r="I640" s="129">
        <v>0</v>
      </c>
      <c r="J640" s="130">
        <f t="shared" si="24"/>
        <v>187.27</v>
      </c>
      <c r="M640" s="52">
        <v>10350</v>
      </c>
    </row>
    <row r="641" spans="2:13" ht="15" customHeight="1" x14ac:dyDescent="0.3">
      <c r="B641" s="135">
        <v>7</v>
      </c>
      <c r="E641" s="127">
        <v>1</v>
      </c>
      <c r="F641" s="128" t="s">
        <v>354</v>
      </c>
      <c r="G641" s="128" t="s">
        <v>255</v>
      </c>
      <c r="H641" s="129">
        <v>150.74</v>
      </c>
      <c r="I641" s="129">
        <v>0</v>
      </c>
      <c r="J641" s="130">
        <f t="shared" si="24"/>
        <v>150.74</v>
      </c>
      <c r="M641" s="52">
        <v>10352</v>
      </c>
    </row>
    <row r="642" spans="2:13" ht="15" customHeight="1" x14ac:dyDescent="0.3">
      <c r="B642" s="135">
        <v>7</v>
      </c>
      <c r="E642" s="127">
        <v>1</v>
      </c>
      <c r="F642" s="128" t="s">
        <v>354</v>
      </c>
      <c r="G642" s="128" t="s">
        <v>255</v>
      </c>
      <c r="H642" s="129">
        <v>150.74</v>
      </c>
      <c r="I642" s="129">
        <v>0</v>
      </c>
      <c r="J642" s="130">
        <f t="shared" si="24"/>
        <v>150.74</v>
      </c>
      <c r="M642" s="52">
        <v>10353</v>
      </c>
    </row>
    <row r="643" spans="2:13" ht="15" customHeight="1" x14ac:dyDescent="0.3">
      <c r="B643" s="135">
        <v>7</v>
      </c>
      <c r="E643" s="127">
        <v>1</v>
      </c>
      <c r="F643" s="128" t="s">
        <v>354</v>
      </c>
      <c r="G643" s="128" t="s">
        <v>255</v>
      </c>
      <c r="H643" s="129">
        <v>187.27</v>
      </c>
      <c r="I643" s="129">
        <v>0</v>
      </c>
      <c r="J643" s="130">
        <f t="shared" si="24"/>
        <v>187.27</v>
      </c>
      <c r="M643" s="52">
        <v>10351</v>
      </c>
    </row>
    <row r="644" spans="2:13" ht="15" customHeight="1" x14ac:dyDescent="0.3">
      <c r="B644" s="135">
        <v>7</v>
      </c>
      <c r="E644" s="127">
        <v>1</v>
      </c>
      <c r="F644" s="128" t="s">
        <v>354</v>
      </c>
      <c r="G644" s="128" t="s">
        <v>255</v>
      </c>
      <c r="H644" s="129">
        <v>187.27</v>
      </c>
      <c r="I644" s="129">
        <v>0</v>
      </c>
      <c r="J644" s="130">
        <f t="shared" si="24"/>
        <v>187.27</v>
      </c>
      <c r="M644" s="52">
        <v>10354</v>
      </c>
    </row>
    <row r="645" spans="2:13" ht="15" customHeight="1" x14ac:dyDescent="0.3">
      <c r="B645" s="135">
        <v>7</v>
      </c>
      <c r="E645" s="127">
        <v>1</v>
      </c>
      <c r="F645" s="128" t="s">
        <v>353</v>
      </c>
      <c r="G645" s="128" t="s">
        <v>255</v>
      </c>
      <c r="H645" s="129">
        <v>1031.6199999999999</v>
      </c>
      <c r="I645" s="129">
        <v>0</v>
      </c>
      <c r="J645" s="130">
        <f t="shared" si="24"/>
        <v>1031.6199999999999</v>
      </c>
      <c r="M645" s="52">
        <v>10355</v>
      </c>
    </row>
    <row r="646" spans="2:13" ht="15" customHeight="1" x14ac:dyDescent="0.3">
      <c r="B646" s="135">
        <v>7</v>
      </c>
      <c r="E646" s="127">
        <v>1</v>
      </c>
      <c r="F646" s="128" t="s">
        <v>353</v>
      </c>
      <c r="G646" s="128" t="s">
        <v>255</v>
      </c>
      <c r="H646" s="129">
        <v>1031.6199999999999</v>
      </c>
      <c r="I646" s="129">
        <v>0</v>
      </c>
      <c r="J646" s="130">
        <f t="shared" si="24"/>
        <v>1031.6199999999999</v>
      </c>
      <c r="M646" s="52">
        <v>10356</v>
      </c>
    </row>
    <row r="647" spans="2:13" ht="15" customHeight="1" x14ac:dyDescent="0.3">
      <c r="B647" s="135">
        <v>7</v>
      </c>
      <c r="E647" s="127">
        <v>1</v>
      </c>
      <c r="F647" s="128" t="s">
        <v>241</v>
      </c>
      <c r="G647" s="128" t="s">
        <v>238</v>
      </c>
      <c r="H647" s="129">
        <v>260.88</v>
      </c>
      <c r="I647" s="129">
        <v>0</v>
      </c>
      <c r="J647" s="130">
        <f t="shared" si="24"/>
        <v>260.88</v>
      </c>
      <c r="M647" s="52">
        <v>10357</v>
      </c>
    </row>
    <row r="648" spans="2:13" ht="15" customHeight="1" x14ac:dyDescent="0.3">
      <c r="B648" s="135">
        <v>7</v>
      </c>
      <c r="E648" s="127">
        <v>1</v>
      </c>
      <c r="F648" s="128" t="s">
        <v>248</v>
      </c>
      <c r="G648" s="128" t="s">
        <v>286</v>
      </c>
      <c r="H648" s="129">
        <v>10</v>
      </c>
      <c r="I648" s="129">
        <v>0</v>
      </c>
      <c r="J648" s="130">
        <f t="shared" si="24"/>
        <v>10</v>
      </c>
    </row>
    <row r="649" spans="2:13" ht="15" customHeight="1" x14ac:dyDescent="0.3">
      <c r="B649" s="135">
        <v>7</v>
      </c>
      <c r="E649" s="127">
        <v>1</v>
      </c>
      <c r="F649" s="128" t="s">
        <v>421</v>
      </c>
      <c r="G649" s="128" t="s">
        <v>422</v>
      </c>
      <c r="H649" s="129">
        <v>121.16</v>
      </c>
      <c r="I649" s="129">
        <v>0</v>
      </c>
      <c r="J649" s="130">
        <f t="shared" si="24"/>
        <v>121.16</v>
      </c>
    </row>
    <row r="650" spans="2:13" ht="15" customHeight="1" x14ac:dyDescent="0.3">
      <c r="B650" s="135">
        <v>7</v>
      </c>
      <c r="E650" s="127">
        <v>1</v>
      </c>
      <c r="F650" s="128" t="s">
        <v>257</v>
      </c>
      <c r="G650" s="128" t="s">
        <v>351</v>
      </c>
      <c r="H650" s="129">
        <v>1009.79</v>
      </c>
      <c r="I650" s="129">
        <v>0</v>
      </c>
      <c r="J650" s="130">
        <f t="shared" si="24"/>
        <v>1009.79</v>
      </c>
      <c r="M650" s="52">
        <v>10358</v>
      </c>
    </row>
    <row r="651" spans="2:13" ht="15" customHeight="1" x14ac:dyDescent="0.3">
      <c r="B651" s="135">
        <v>7</v>
      </c>
      <c r="E651" s="127">
        <v>1</v>
      </c>
      <c r="F651" s="128" t="s">
        <v>423</v>
      </c>
      <c r="G651" s="128" t="s">
        <v>424</v>
      </c>
      <c r="H651" s="129">
        <v>3355.71</v>
      </c>
      <c r="I651" s="129">
        <v>0</v>
      </c>
      <c r="J651" s="130">
        <f t="shared" si="24"/>
        <v>3355.71</v>
      </c>
      <c r="M651" s="52">
        <v>10359</v>
      </c>
    </row>
    <row r="652" spans="2:13" ht="15" customHeight="1" x14ac:dyDescent="0.3">
      <c r="B652" s="135">
        <v>7</v>
      </c>
      <c r="E652" s="127">
        <v>1</v>
      </c>
      <c r="F652" s="128" t="s">
        <v>247</v>
      </c>
      <c r="G652" s="128" t="s">
        <v>425</v>
      </c>
      <c r="H652" s="129">
        <v>75.260000000000005</v>
      </c>
      <c r="I652" s="129">
        <v>0</v>
      </c>
      <c r="J652" s="130">
        <f t="shared" si="24"/>
        <v>75.260000000000005</v>
      </c>
      <c r="M652" s="52">
        <v>10363</v>
      </c>
    </row>
    <row r="653" spans="2:13" ht="15" customHeight="1" x14ac:dyDescent="0.3">
      <c r="B653" s="135">
        <v>7</v>
      </c>
      <c r="E653" s="127">
        <v>1</v>
      </c>
      <c r="F653" s="128" t="s">
        <v>247</v>
      </c>
      <c r="G653" s="128" t="s">
        <v>426</v>
      </c>
      <c r="H653" s="129">
        <v>50.55</v>
      </c>
      <c r="I653" s="129">
        <v>0</v>
      </c>
      <c r="J653" s="130">
        <f t="shared" si="24"/>
        <v>50.55</v>
      </c>
      <c r="M653" s="52">
        <v>10367</v>
      </c>
    </row>
    <row r="654" spans="2:13" ht="15" customHeight="1" x14ac:dyDescent="0.3">
      <c r="B654" s="135">
        <v>7</v>
      </c>
      <c r="E654" s="127">
        <v>1</v>
      </c>
      <c r="F654" s="128" t="s">
        <v>247</v>
      </c>
      <c r="G654" s="128" t="s">
        <v>427</v>
      </c>
      <c r="H654" s="129">
        <v>80.17</v>
      </c>
      <c r="I654" s="129">
        <v>0</v>
      </c>
      <c r="J654" s="130">
        <f t="shared" ref="J654:J688" si="25">+H654-I654</f>
        <v>80.17</v>
      </c>
      <c r="M654" s="52">
        <v>10369</v>
      </c>
    </row>
    <row r="655" spans="2:13" ht="15" customHeight="1" x14ac:dyDescent="0.3">
      <c r="B655" s="135">
        <v>7</v>
      </c>
      <c r="E655" s="127">
        <v>1</v>
      </c>
      <c r="F655" s="128" t="s">
        <v>428</v>
      </c>
      <c r="G655" s="128" t="s">
        <v>429</v>
      </c>
      <c r="H655" s="129">
        <v>909.3</v>
      </c>
      <c r="I655" s="129">
        <v>0</v>
      </c>
      <c r="J655" s="130">
        <f t="shared" si="25"/>
        <v>909.3</v>
      </c>
      <c r="M655" s="52">
        <v>10388</v>
      </c>
    </row>
    <row r="656" spans="2:13" ht="15" customHeight="1" x14ac:dyDescent="0.3">
      <c r="B656" s="135">
        <v>7</v>
      </c>
      <c r="E656" s="127">
        <v>1</v>
      </c>
      <c r="F656" s="128" t="s">
        <v>305</v>
      </c>
      <c r="G656" s="128" t="s">
        <v>363</v>
      </c>
      <c r="H656" s="129">
        <v>502.5</v>
      </c>
      <c r="I656" s="129">
        <v>0</v>
      </c>
      <c r="J656" s="130">
        <f t="shared" si="25"/>
        <v>502.5</v>
      </c>
      <c r="M656" s="52">
        <v>10395</v>
      </c>
    </row>
    <row r="657" spans="2:13" ht="15" customHeight="1" x14ac:dyDescent="0.3">
      <c r="B657" s="135">
        <v>7</v>
      </c>
      <c r="E657" s="127">
        <v>1</v>
      </c>
      <c r="F657" s="128" t="s">
        <v>305</v>
      </c>
      <c r="G657" s="128" t="s">
        <v>363</v>
      </c>
      <c r="H657" s="129">
        <v>1045</v>
      </c>
      <c r="I657" s="129">
        <v>0</v>
      </c>
      <c r="J657" s="130">
        <f t="shared" si="25"/>
        <v>1045</v>
      </c>
      <c r="M657" s="52">
        <v>10396</v>
      </c>
    </row>
    <row r="658" spans="2:13" ht="15" customHeight="1" x14ac:dyDescent="0.3">
      <c r="B658" s="135">
        <v>7</v>
      </c>
      <c r="E658" s="127">
        <v>1</v>
      </c>
      <c r="F658" s="128" t="s">
        <v>305</v>
      </c>
      <c r="G658" s="128" t="s">
        <v>363</v>
      </c>
      <c r="H658" s="129">
        <v>500</v>
      </c>
      <c r="I658" s="129">
        <v>0</v>
      </c>
      <c r="J658" s="130">
        <f t="shared" si="25"/>
        <v>500</v>
      </c>
      <c r="M658" s="52">
        <v>10397</v>
      </c>
    </row>
    <row r="659" spans="2:13" ht="15" customHeight="1" x14ac:dyDescent="0.3">
      <c r="B659" s="135">
        <v>7</v>
      </c>
      <c r="E659" s="127">
        <v>1</v>
      </c>
      <c r="F659" s="128" t="s">
        <v>305</v>
      </c>
      <c r="G659" s="128" t="s">
        <v>363</v>
      </c>
      <c r="H659" s="129">
        <v>1467.5</v>
      </c>
      <c r="I659" s="129">
        <v>0</v>
      </c>
      <c r="J659" s="130">
        <f t="shared" si="25"/>
        <v>1467.5</v>
      </c>
      <c r="M659" s="52">
        <v>10398</v>
      </c>
    </row>
    <row r="660" spans="2:13" ht="15" customHeight="1" x14ac:dyDescent="0.3">
      <c r="B660" s="135">
        <v>7</v>
      </c>
      <c r="E660" s="127">
        <v>2</v>
      </c>
      <c r="F660" s="128" t="s">
        <v>430</v>
      </c>
      <c r="G660" s="128" t="s">
        <v>444</v>
      </c>
      <c r="H660" s="131">
        <f>46407.513-46166.63</f>
        <v>240.88300000000163</v>
      </c>
      <c r="I660" s="129">
        <v>0</v>
      </c>
      <c r="J660" s="130">
        <f t="shared" si="25"/>
        <v>240.88300000000163</v>
      </c>
      <c r="M660" s="52">
        <v>10210</v>
      </c>
    </row>
    <row r="661" spans="2:13" ht="15" customHeight="1" x14ac:dyDescent="0.3">
      <c r="B661" s="135">
        <v>7</v>
      </c>
      <c r="E661" s="127">
        <v>2</v>
      </c>
      <c r="F661" s="128" t="s">
        <v>430</v>
      </c>
      <c r="G661" s="128" t="s">
        <v>431</v>
      </c>
      <c r="H661" s="129">
        <v>771.08999999999992</v>
      </c>
      <c r="I661" s="129">
        <v>0</v>
      </c>
      <c r="J661" s="130">
        <f t="shared" si="25"/>
        <v>771.08999999999992</v>
      </c>
      <c r="M661" s="52">
        <v>10210</v>
      </c>
    </row>
    <row r="662" spans="2:13" ht="15" customHeight="1" x14ac:dyDescent="0.3">
      <c r="B662" s="135">
        <v>7</v>
      </c>
      <c r="E662" s="127">
        <v>2</v>
      </c>
      <c r="F662" s="128" t="s">
        <v>432</v>
      </c>
      <c r="G662" s="128" t="s">
        <v>183</v>
      </c>
      <c r="H662" s="129">
        <v>2490</v>
      </c>
      <c r="I662" s="129">
        <v>0</v>
      </c>
      <c r="J662" s="130">
        <f t="shared" si="25"/>
        <v>2490</v>
      </c>
      <c r="M662" s="52">
        <v>10213</v>
      </c>
    </row>
    <row r="663" spans="2:13" ht="15" customHeight="1" x14ac:dyDescent="0.3">
      <c r="B663" s="135">
        <v>7</v>
      </c>
      <c r="E663" s="127">
        <v>2</v>
      </c>
      <c r="F663" s="128" t="s">
        <v>432</v>
      </c>
      <c r="G663" s="128" t="s">
        <v>183</v>
      </c>
      <c r="H663" s="129">
        <v>1245</v>
      </c>
      <c r="I663" s="129">
        <v>0</v>
      </c>
      <c r="J663" s="130">
        <f t="shared" si="25"/>
        <v>1245</v>
      </c>
      <c r="M663" s="52">
        <v>10214</v>
      </c>
    </row>
    <row r="664" spans="2:13" ht="15" customHeight="1" x14ac:dyDescent="0.3">
      <c r="B664" s="135">
        <v>7</v>
      </c>
      <c r="E664" s="127">
        <v>2</v>
      </c>
      <c r="F664" s="128" t="s">
        <v>432</v>
      </c>
      <c r="G664" s="128" t="s">
        <v>183</v>
      </c>
      <c r="H664" s="129">
        <v>1245</v>
      </c>
      <c r="I664" s="129">
        <v>0</v>
      </c>
      <c r="J664" s="130">
        <f t="shared" si="25"/>
        <v>1245</v>
      </c>
      <c r="M664" s="52">
        <v>10215</v>
      </c>
    </row>
    <row r="665" spans="2:13" ht="15" customHeight="1" x14ac:dyDescent="0.3">
      <c r="B665" s="135">
        <v>7</v>
      </c>
      <c r="E665" s="127">
        <v>2</v>
      </c>
      <c r="F665" s="128" t="s">
        <v>433</v>
      </c>
      <c r="G665" s="128" t="s">
        <v>434</v>
      </c>
      <c r="H665" s="129">
        <v>162.38</v>
      </c>
      <c r="I665" s="129">
        <v>0</v>
      </c>
      <c r="J665" s="130">
        <f t="shared" si="25"/>
        <v>162.38</v>
      </c>
      <c r="M665" s="52">
        <v>10240</v>
      </c>
    </row>
    <row r="666" spans="2:13" ht="15" customHeight="1" x14ac:dyDescent="0.3">
      <c r="B666" s="135">
        <v>7</v>
      </c>
      <c r="E666" s="127">
        <v>2</v>
      </c>
      <c r="F666" s="128" t="s">
        <v>435</v>
      </c>
      <c r="G666" s="128" t="s">
        <v>436</v>
      </c>
      <c r="H666" s="129">
        <v>214.77</v>
      </c>
      <c r="I666" s="129">
        <v>0</v>
      </c>
      <c r="J666" s="130">
        <f t="shared" si="25"/>
        <v>214.77</v>
      </c>
      <c r="M666" s="52">
        <v>10257</v>
      </c>
    </row>
    <row r="667" spans="2:13" ht="15" customHeight="1" x14ac:dyDescent="0.3">
      <c r="B667" s="135">
        <v>7</v>
      </c>
      <c r="E667" s="127">
        <v>2</v>
      </c>
      <c r="F667" s="128" t="s">
        <v>437</v>
      </c>
      <c r="G667" s="128" t="s">
        <v>438</v>
      </c>
      <c r="H667" s="129">
        <v>47.93</v>
      </c>
      <c r="I667" s="129">
        <v>0</v>
      </c>
      <c r="J667" s="130">
        <f t="shared" si="25"/>
        <v>47.93</v>
      </c>
      <c r="M667" s="52">
        <v>10276</v>
      </c>
    </row>
    <row r="668" spans="2:13" ht="15" customHeight="1" x14ac:dyDescent="0.3">
      <c r="B668" s="135">
        <v>7</v>
      </c>
      <c r="E668" s="127">
        <v>2</v>
      </c>
      <c r="F668" s="128" t="s">
        <v>437</v>
      </c>
      <c r="G668" s="128" t="s">
        <v>439</v>
      </c>
      <c r="H668" s="129">
        <v>259.12</v>
      </c>
      <c r="I668" s="129">
        <v>0</v>
      </c>
      <c r="J668" s="130">
        <f t="shared" si="25"/>
        <v>259.12</v>
      </c>
      <c r="M668" s="52">
        <v>10277</v>
      </c>
    </row>
    <row r="669" spans="2:13" ht="15" customHeight="1" x14ac:dyDescent="0.3">
      <c r="B669" s="135">
        <v>7</v>
      </c>
      <c r="E669" s="127">
        <v>2</v>
      </c>
      <c r="F669" s="128" t="s">
        <v>440</v>
      </c>
      <c r="G669" s="128" t="s">
        <v>441</v>
      </c>
      <c r="H669" s="129">
        <v>3219</v>
      </c>
      <c r="I669" s="129">
        <v>0</v>
      </c>
      <c r="J669" s="130">
        <f t="shared" si="25"/>
        <v>3219</v>
      </c>
      <c r="M669" s="52">
        <v>10287</v>
      </c>
    </row>
    <row r="670" spans="2:13" ht="15" customHeight="1" x14ac:dyDescent="0.3">
      <c r="B670" s="135">
        <v>7</v>
      </c>
      <c r="E670" s="127">
        <v>2</v>
      </c>
      <c r="F670" s="128" t="s">
        <v>442</v>
      </c>
      <c r="G670" s="128" t="s">
        <v>443</v>
      </c>
      <c r="H670" s="129">
        <v>11829.929999999993</v>
      </c>
      <c r="I670" s="129">
        <v>0</v>
      </c>
      <c r="J670" s="130">
        <f t="shared" si="25"/>
        <v>11829.929999999993</v>
      </c>
      <c r="M670" s="52">
        <v>10288</v>
      </c>
    </row>
    <row r="671" spans="2:13" ht="15" customHeight="1" x14ac:dyDescent="0.3">
      <c r="B671" s="135">
        <v>7</v>
      </c>
      <c r="E671" s="127">
        <v>2</v>
      </c>
      <c r="F671" s="128" t="s">
        <v>184</v>
      </c>
      <c r="G671" s="128" t="s">
        <v>445</v>
      </c>
      <c r="H671" s="129">
        <v>1125</v>
      </c>
      <c r="I671" s="129">
        <v>0</v>
      </c>
      <c r="J671" s="130">
        <f t="shared" si="25"/>
        <v>1125</v>
      </c>
      <c r="M671" s="52">
        <v>10319</v>
      </c>
    </row>
    <row r="672" spans="2:13" ht="15" customHeight="1" x14ac:dyDescent="0.3">
      <c r="B672" s="135">
        <v>7</v>
      </c>
      <c r="E672" s="127">
        <v>2</v>
      </c>
      <c r="F672" s="128" t="s">
        <v>446</v>
      </c>
      <c r="G672" s="128" t="s">
        <v>447</v>
      </c>
      <c r="H672" s="129">
        <v>19170.759999999998</v>
      </c>
      <c r="I672" s="129">
        <v>0</v>
      </c>
      <c r="J672" s="130">
        <f t="shared" si="25"/>
        <v>19170.759999999998</v>
      </c>
      <c r="M672" s="52">
        <v>10386</v>
      </c>
    </row>
    <row r="673" spans="2:13" ht="15" customHeight="1" x14ac:dyDescent="0.3">
      <c r="B673" s="135">
        <v>7</v>
      </c>
      <c r="E673" s="127">
        <v>2</v>
      </c>
      <c r="F673" s="128" t="s">
        <v>430</v>
      </c>
      <c r="G673" s="128" t="s">
        <v>431</v>
      </c>
      <c r="H673" s="129">
        <v>985.24</v>
      </c>
      <c r="I673" s="129">
        <v>0</v>
      </c>
      <c r="J673" s="130">
        <f t="shared" si="25"/>
        <v>985.24</v>
      </c>
      <c r="M673" s="52">
        <v>10389</v>
      </c>
    </row>
    <row r="674" spans="2:13" ht="15" customHeight="1" x14ac:dyDescent="0.3">
      <c r="B674" s="135">
        <v>7</v>
      </c>
      <c r="E674" s="127">
        <v>2</v>
      </c>
      <c r="F674" s="128" t="s">
        <v>448</v>
      </c>
      <c r="G674" s="128" t="s">
        <v>449</v>
      </c>
      <c r="H674" s="129">
        <v>2966.4</v>
      </c>
      <c r="I674" s="129">
        <v>0</v>
      </c>
      <c r="J674" s="130">
        <f t="shared" si="25"/>
        <v>2966.4</v>
      </c>
      <c r="M674" s="52">
        <v>10390</v>
      </c>
    </row>
    <row r="675" spans="2:13" ht="15" customHeight="1" x14ac:dyDescent="0.3">
      <c r="B675" s="135">
        <v>7</v>
      </c>
      <c r="E675" s="127">
        <v>2</v>
      </c>
      <c r="F675" s="128" t="s">
        <v>448</v>
      </c>
      <c r="G675" s="128" t="s">
        <v>449</v>
      </c>
      <c r="H675" s="129">
        <v>-662.91</v>
      </c>
      <c r="I675" s="129">
        <v>0</v>
      </c>
      <c r="J675" s="130">
        <f t="shared" si="25"/>
        <v>-662.91</v>
      </c>
      <c r="M675" s="52">
        <v>10390</v>
      </c>
    </row>
    <row r="676" spans="2:13" ht="15" customHeight="1" x14ac:dyDescent="0.3">
      <c r="B676" s="135">
        <v>7</v>
      </c>
      <c r="E676" s="127">
        <v>2</v>
      </c>
      <c r="F676" s="128" t="s">
        <v>450</v>
      </c>
      <c r="G676" s="128" t="s">
        <v>451</v>
      </c>
      <c r="H676" s="129">
        <v>347.92</v>
      </c>
      <c r="I676" s="129">
        <v>0</v>
      </c>
      <c r="J676" s="130">
        <f t="shared" si="25"/>
        <v>347.92</v>
      </c>
      <c r="M676" s="52">
        <v>10391</v>
      </c>
    </row>
    <row r="677" spans="2:13" ht="15" customHeight="1" x14ac:dyDescent="0.3">
      <c r="B677" s="135">
        <v>7</v>
      </c>
      <c r="E677" s="127">
        <v>2</v>
      </c>
      <c r="F677" s="128" t="s">
        <v>184</v>
      </c>
      <c r="G677" s="128" t="s">
        <v>445</v>
      </c>
      <c r="H677" s="129">
        <v>375</v>
      </c>
      <c r="I677" s="129">
        <v>0</v>
      </c>
      <c r="J677" s="130">
        <f t="shared" si="25"/>
        <v>375</v>
      </c>
      <c r="M677" s="52">
        <v>10393</v>
      </c>
    </row>
    <row r="678" spans="2:13" ht="15" customHeight="1" x14ac:dyDescent="0.3">
      <c r="B678" s="135">
        <v>7</v>
      </c>
      <c r="E678" s="127">
        <v>2</v>
      </c>
      <c r="F678" s="128" t="s">
        <v>184</v>
      </c>
      <c r="G678" s="128" t="s">
        <v>445</v>
      </c>
      <c r="H678" s="129">
        <v>375</v>
      </c>
      <c r="I678" s="129">
        <v>0</v>
      </c>
      <c r="J678" s="130">
        <f t="shared" si="25"/>
        <v>375</v>
      </c>
      <c r="M678" s="52">
        <v>10394</v>
      </c>
    </row>
    <row r="679" spans="2:13" ht="15" customHeight="1" x14ac:dyDescent="0.3">
      <c r="B679" s="135">
        <v>7</v>
      </c>
      <c r="E679" s="127">
        <v>3</v>
      </c>
      <c r="F679" s="128" t="s">
        <v>452</v>
      </c>
      <c r="G679" s="128" t="s">
        <v>453</v>
      </c>
      <c r="H679" s="129">
        <v>5566</v>
      </c>
      <c r="I679" s="129">
        <v>0</v>
      </c>
      <c r="J679" s="130">
        <f t="shared" si="25"/>
        <v>5566</v>
      </c>
      <c r="M679" s="52">
        <v>10401</v>
      </c>
    </row>
    <row r="680" spans="2:13" ht="15" customHeight="1" x14ac:dyDescent="0.3">
      <c r="B680" s="135">
        <v>7</v>
      </c>
      <c r="E680" s="127">
        <v>3</v>
      </c>
      <c r="F680" s="128" t="s">
        <v>454</v>
      </c>
      <c r="G680" s="128" t="s">
        <v>455</v>
      </c>
      <c r="H680" s="129">
        <v>3200</v>
      </c>
      <c r="I680" s="129">
        <v>0</v>
      </c>
      <c r="J680" s="130">
        <f t="shared" si="25"/>
        <v>3200</v>
      </c>
      <c r="M680" s="52">
        <v>10402</v>
      </c>
    </row>
    <row r="681" spans="2:13" ht="15" customHeight="1" x14ac:dyDescent="0.3">
      <c r="B681" s="135">
        <v>7</v>
      </c>
      <c r="E681" s="127">
        <v>4</v>
      </c>
      <c r="F681" s="128" t="s">
        <v>456</v>
      </c>
      <c r="G681" s="128" t="s">
        <v>457</v>
      </c>
      <c r="H681" s="129">
        <v>964.51</v>
      </c>
      <c r="I681" s="129">
        <v>0</v>
      </c>
      <c r="J681" s="130">
        <f t="shared" si="25"/>
        <v>964.51</v>
      </c>
      <c r="M681" s="52">
        <v>10362</v>
      </c>
    </row>
    <row r="682" spans="2:13" ht="15" customHeight="1" x14ac:dyDescent="0.3">
      <c r="B682" s="135">
        <v>7</v>
      </c>
      <c r="E682" s="127">
        <v>6</v>
      </c>
      <c r="F682" s="128" t="s">
        <v>264</v>
      </c>
      <c r="G682" s="128" t="s">
        <v>458</v>
      </c>
      <c r="H682" s="129">
        <v>203.36</v>
      </c>
      <c r="I682" s="129">
        <v>0</v>
      </c>
      <c r="J682" s="130">
        <f t="shared" si="25"/>
        <v>203.36</v>
      </c>
      <c r="M682" s="52">
        <v>10360</v>
      </c>
    </row>
    <row r="683" spans="2:13" ht="15" customHeight="1" x14ac:dyDescent="0.3">
      <c r="B683" s="135">
        <v>7</v>
      </c>
      <c r="E683" s="127">
        <v>6</v>
      </c>
      <c r="F683" s="128" t="s">
        <v>264</v>
      </c>
      <c r="G683" s="128" t="s">
        <v>459</v>
      </c>
      <c r="H683" s="129">
        <v>105.18</v>
      </c>
      <c r="I683" s="129">
        <v>0</v>
      </c>
      <c r="J683" s="130">
        <f t="shared" si="25"/>
        <v>105.18</v>
      </c>
      <c r="M683" s="52">
        <v>10361</v>
      </c>
    </row>
    <row r="684" spans="2:13" ht="15" customHeight="1" x14ac:dyDescent="0.3">
      <c r="B684" s="135">
        <v>7</v>
      </c>
      <c r="E684" s="127">
        <v>6</v>
      </c>
      <c r="F684" s="128" t="s">
        <v>264</v>
      </c>
      <c r="G684" s="128" t="s">
        <v>460</v>
      </c>
      <c r="H684" s="129">
        <v>844.92</v>
      </c>
      <c r="I684" s="129">
        <v>0</v>
      </c>
      <c r="J684" s="130">
        <f t="shared" si="25"/>
        <v>844.92</v>
      </c>
      <c r="M684" s="52">
        <v>10368</v>
      </c>
    </row>
    <row r="685" spans="2:13" ht="15" customHeight="1" x14ac:dyDescent="0.3">
      <c r="B685" s="135">
        <v>7</v>
      </c>
      <c r="E685" s="127">
        <v>6</v>
      </c>
      <c r="F685" s="128" t="s">
        <v>264</v>
      </c>
      <c r="G685" s="128" t="s">
        <v>461</v>
      </c>
      <c r="H685" s="129">
        <v>880.72</v>
      </c>
      <c r="I685" s="129">
        <v>0</v>
      </c>
      <c r="J685" s="130">
        <f t="shared" si="25"/>
        <v>880.72</v>
      </c>
      <c r="M685" s="52">
        <v>10370</v>
      </c>
    </row>
    <row r="686" spans="2:13" ht="15" customHeight="1" x14ac:dyDescent="0.3">
      <c r="B686" s="135">
        <v>7</v>
      </c>
      <c r="E686" s="127">
        <v>6</v>
      </c>
      <c r="F686" s="128" t="s">
        <v>264</v>
      </c>
      <c r="G686" s="128" t="s">
        <v>462</v>
      </c>
      <c r="H686" s="129">
        <v>108.94</v>
      </c>
      <c r="I686" s="129">
        <v>0</v>
      </c>
      <c r="J686" s="130">
        <f t="shared" si="25"/>
        <v>108.94</v>
      </c>
      <c r="M686" s="52">
        <v>10371</v>
      </c>
    </row>
    <row r="687" spans="2:13" ht="15" customHeight="1" x14ac:dyDescent="0.3">
      <c r="B687" s="135">
        <v>7</v>
      </c>
      <c r="E687" s="127">
        <v>6</v>
      </c>
      <c r="F687" s="128" t="s">
        <v>264</v>
      </c>
      <c r="G687" s="128" t="s">
        <v>377</v>
      </c>
      <c r="H687" s="129">
        <v>89.85</v>
      </c>
      <c r="I687" s="129">
        <v>0</v>
      </c>
      <c r="J687" s="130">
        <f t="shared" si="25"/>
        <v>89.85</v>
      </c>
      <c r="M687" s="52">
        <v>10372</v>
      </c>
    </row>
    <row r="688" spans="2:13" ht="15" customHeight="1" x14ac:dyDescent="0.3">
      <c r="B688" s="135">
        <v>7</v>
      </c>
      <c r="E688" s="127">
        <v>6</v>
      </c>
      <c r="F688" s="128" t="s">
        <v>264</v>
      </c>
      <c r="G688" s="128" t="s">
        <v>463</v>
      </c>
      <c r="H688" s="129">
        <v>1255.0899999999999</v>
      </c>
      <c r="I688" s="129">
        <v>0</v>
      </c>
      <c r="J688" s="130">
        <f t="shared" si="25"/>
        <v>1255.0899999999999</v>
      </c>
      <c r="M688" s="52">
        <v>10403</v>
      </c>
    </row>
    <row r="689" spans="2:13" ht="15" customHeight="1" x14ac:dyDescent="0.3">
      <c r="B689" s="135">
        <v>7</v>
      </c>
      <c r="E689" s="127">
        <v>6</v>
      </c>
      <c r="F689" s="128" t="s">
        <v>264</v>
      </c>
      <c r="G689" s="128" t="s">
        <v>464</v>
      </c>
      <c r="H689" s="129">
        <v>1606.15</v>
      </c>
      <c r="I689" s="129">
        <v>0</v>
      </c>
      <c r="J689" s="130">
        <f t="shared" ref="J689:J711" si="26">+H689-I689</f>
        <v>1606.15</v>
      </c>
      <c r="M689" s="52">
        <v>10404</v>
      </c>
    </row>
    <row r="690" spans="2:13" ht="15" customHeight="1" x14ac:dyDescent="0.3">
      <c r="B690" s="135">
        <v>7</v>
      </c>
      <c r="E690" s="127">
        <v>6</v>
      </c>
      <c r="F690" s="128" t="s">
        <v>264</v>
      </c>
      <c r="G690" s="128" t="s">
        <v>464</v>
      </c>
      <c r="H690" s="129">
        <v>1972.62</v>
      </c>
      <c r="I690" s="129">
        <v>0</v>
      </c>
      <c r="J690" s="130">
        <f t="shared" si="26"/>
        <v>1972.62</v>
      </c>
      <c r="M690" s="52">
        <v>10405</v>
      </c>
    </row>
    <row r="691" spans="2:13" ht="15" customHeight="1" x14ac:dyDescent="0.3">
      <c r="B691" s="135">
        <v>7</v>
      </c>
      <c r="E691" s="127">
        <v>6</v>
      </c>
      <c r="F691" s="128" t="s">
        <v>253</v>
      </c>
      <c r="G691" s="128" t="s">
        <v>465</v>
      </c>
      <c r="H691" s="129">
        <v>3500</v>
      </c>
      <c r="I691" s="129">
        <v>350</v>
      </c>
      <c r="J691" s="130">
        <f t="shared" si="26"/>
        <v>3150</v>
      </c>
      <c r="M691" s="52">
        <v>10399</v>
      </c>
    </row>
    <row r="692" spans="2:13" ht="15" customHeight="1" x14ac:dyDescent="0.3">
      <c r="B692" s="135">
        <v>7</v>
      </c>
      <c r="E692" s="127">
        <v>6</v>
      </c>
      <c r="F692" s="128" t="s">
        <v>253</v>
      </c>
      <c r="G692" s="128" t="s">
        <v>466</v>
      </c>
      <c r="H692" s="129">
        <v>8500</v>
      </c>
      <c r="I692" s="129">
        <v>850</v>
      </c>
      <c r="J692" s="130">
        <f t="shared" si="26"/>
        <v>7650</v>
      </c>
      <c r="M692" s="52">
        <v>10400</v>
      </c>
    </row>
    <row r="693" spans="2:13" ht="15" customHeight="1" x14ac:dyDescent="0.3">
      <c r="B693" s="135">
        <v>7</v>
      </c>
      <c r="E693" s="127">
        <v>6</v>
      </c>
      <c r="F693" s="128" t="s">
        <v>253</v>
      </c>
      <c r="G693" s="128" t="s">
        <v>467</v>
      </c>
      <c r="H693" s="129">
        <v>4475</v>
      </c>
      <c r="I693" s="129">
        <v>447.5</v>
      </c>
      <c r="J693" s="130">
        <f t="shared" si="26"/>
        <v>4027.5</v>
      </c>
      <c r="M693" s="52">
        <v>10406</v>
      </c>
    </row>
    <row r="694" spans="2:13" ht="15" customHeight="1" x14ac:dyDescent="0.3">
      <c r="B694" s="135">
        <v>7</v>
      </c>
      <c r="E694" s="127">
        <v>7</v>
      </c>
      <c r="F694" s="128" t="s">
        <v>468</v>
      </c>
      <c r="G694" s="128" t="s">
        <v>469</v>
      </c>
      <c r="H694" s="129">
        <v>14914.9</v>
      </c>
      <c r="I694" s="129">
        <v>0</v>
      </c>
      <c r="J694" s="130">
        <f t="shared" si="26"/>
        <v>14914.9</v>
      </c>
      <c r="M694" s="52">
        <v>10385</v>
      </c>
    </row>
    <row r="695" spans="2:13" ht="15" customHeight="1" x14ac:dyDescent="0.3">
      <c r="B695" s="135">
        <v>7</v>
      </c>
      <c r="E695" s="127">
        <v>9</v>
      </c>
      <c r="F695" s="128" t="s">
        <v>247</v>
      </c>
      <c r="G695" s="128" t="s">
        <v>470</v>
      </c>
      <c r="H695" s="129">
        <v>197.45</v>
      </c>
      <c r="I695" s="129">
        <v>0</v>
      </c>
      <c r="J695" s="130">
        <f t="shared" si="26"/>
        <v>197.45</v>
      </c>
      <c r="M695" s="52">
        <v>10364</v>
      </c>
    </row>
    <row r="696" spans="2:13" ht="15" customHeight="1" x14ac:dyDescent="0.3">
      <c r="B696" s="135">
        <v>7</v>
      </c>
      <c r="E696" s="127">
        <v>9</v>
      </c>
      <c r="F696" s="128" t="s">
        <v>247</v>
      </c>
      <c r="G696" s="128" t="s">
        <v>470</v>
      </c>
      <c r="H696" s="129">
        <v>90.06</v>
      </c>
      <c r="I696" s="129">
        <v>0</v>
      </c>
      <c r="J696" s="130">
        <f t="shared" si="26"/>
        <v>90.06</v>
      </c>
      <c r="M696" s="52">
        <v>10365</v>
      </c>
    </row>
    <row r="697" spans="2:13" ht="15" customHeight="1" x14ac:dyDescent="0.3">
      <c r="B697" s="135">
        <v>7</v>
      </c>
      <c r="E697" s="127">
        <v>9</v>
      </c>
      <c r="F697" s="128" t="s">
        <v>247</v>
      </c>
      <c r="G697" s="128" t="s">
        <v>470</v>
      </c>
      <c r="H697" s="129">
        <v>234.69</v>
      </c>
      <c r="I697" s="129">
        <v>0</v>
      </c>
      <c r="J697" s="130">
        <f t="shared" si="26"/>
        <v>234.69</v>
      </c>
      <c r="M697" s="52">
        <v>10366</v>
      </c>
    </row>
    <row r="698" spans="2:13" ht="15" customHeight="1" x14ac:dyDescent="0.3">
      <c r="B698" s="135">
        <v>7</v>
      </c>
      <c r="E698" s="127">
        <v>16</v>
      </c>
      <c r="F698" s="128" t="s">
        <v>275</v>
      </c>
      <c r="G698" s="128" t="s">
        <v>331</v>
      </c>
      <c r="H698" s="129">
        <v>190.52</v>
      </c>
      <c r="I698" s="129">
        <v>0</v>
      </c>
      <c r="J698" s="130">
        <f t="shared" si="26"/>
        <v>190.52</v>
      </c>
      <c r="M698" s="52">
        <v>10373</v>
      </c>
    </row>
    <row r="699" spans="2:13" ht="15" customHeight="1" x14ac:dyDescent="0.3">
      <c r="B699" s="135">
        <v>7</v>
      </c>
      <c r="E699" s="127">
        <v>16</v>
      </c>
      <c r="F699" s="128" t="s">
        <v>275</v>
      </c>
      <c r="G699" s="128" t="s">
        <v>331</v>
      </c>
      <c r="H699" s="129">
        <v>115.11</v>
      </c>
      <c r="I699" s="129">
        <v>0</v>
      </c>
      <c r="J699" s="130">
        <f t="shared" si="26"/>
        <v>115.11</v>
      </c>
      <c r="M699" s="52">
        <v>10374</v>
      </c>
    </row>
    <row r="700" spans="2:13" ht="15" customHeight="1" x14ac:dyDescent="0.3">
      <c r="B700" s="135">
        <v>7</v>
      </c>
      <c r="E700" s="127">
        <v>16</v>
      </c>
      <c r="F700" s="128" t="s">
        <v>275</v>
      </c>
      <c r="G700" s="128" t="s">
        <v>331</v>
      </c>
      <c r="H700" s="129">
        <v>2257.88</v>
      </c>
      <c r="I700" s="129">
        <v>0</v>
      </c>
      <c r="J700" s="130">
        <f t="shared" si="26"/>
        <v>2257.88</v>
      </c>
      <c r="M700" s="52">
        <v>10375</v>
      </c>
    </row>
    <row r="701" spans="2:13" ht="15" customHeight="1" x14ac:dyDescent="0.3">
      <c r="B701" s="135">
        <v>7</v>
      </c>
      <c r="E701" s="127">
        <v>16</v>
      </c>
      <c r="F701" s="128" t="s">
        <v>275</v>
      </c>
      <c r="G701" s="128" t="s">
        <v>331</v>
      </c>
      <c r="H701" s="129">
        <v>6928</v>
      </c>
      <c r="I701" s="129">
        <v>0</v>
      </c>
      <c r="J701" s="130">
        <f t="shared" si="26"/>
        <v>6928</v>
      </c>
      <c r="M701" s="52">
        <v>10376</v>
      </c>
    </row>
    <row r="702" spans="2:13" ht="15" customHeight="1" x14ac:dyDescent="0.3">
      <c r="B702" s="135">
        <v>7</v>
      </c>
      <c r="E702" s="127">
        <v>16</v>
      </c>
      <c r="F702" s="128" t="s">
        <v>275</v>
      </c>
      <c r="G702" s="128" t="s">
        <v>331</v>
      </c>
      <c r="H702" s="129">
        <v>31.42</v>
      </c>
      <c r="I702" s="129">
        <v>0</v>
      </c>
      <c r="J702" s="130">
        <f t="shared" si="26"/>
        <v>31.42</v>
      </c>
      <c r="M702" s="52">
        <v>10377</v>
      </c>
    </row>
    <row r="703" spans="2:13" ht="15" customHeight="1" x14ac:dyDescent="0.3">
      <c r="B703" s="135">
        <v>7</v>
      </c>
      <c r="E703" s="127">
        <v>16</v>
      </c>
      <c r="F703" s="128" t="s">
        <v>275</v>
      </c>
      <c r="G703" s="128" t="s">
        <v>331</v>
      </c>
      <c r="H703" s="129">
        <v>39.340000000000003</v>
      </c>
      <c r="I703" s="129">
        <v>0</v>
      </c>
      <c r="J703" s="130">
        <f t="shared" si="26"/>
        <v>39.340000000000003</v>
      </c>
      <c r="M703" s="52">
        <v>10378</v>
      </c>
    </row>
    <row r="704" spans="2:13" ht="15" customHeight="1" x14ac:dyDescent="0.3">
      <c r="B704" s="135">
        <v>7</v>
      </c>
      <c r="E704" s="127">
        <v>16</v>
      </c>
      <c r="F704" s="128" t="s">
        <v>275</v>
      </c>
      <c r="G704" s="128" t="s">
        <v>331</v>
      </c>
      <c r="H704" s="129">
        <v>972.67</v>
      </c>
      <c r="I704" s="129">
        <v>0</v>
      </c>
      <c r="J704" s="130">
        <f t="shared" si="26"/>
        <v>972.67</v>
      </c>
      <c r="M704" s="52">
        <v>10379</v>
      </c>
    </row>
    <row r="705" spans="2:13" ht="15" customHeight="1" x14ac:dyDescent="0.3">
      <c r="B705" s="135">
        <v>7</v>
      </c>
      <c r="E705" s="127">
        <v>16</v>
      </c>
      <c r="F705" s="128" t="s">
        <v>275</v>
      </c>
      <c r="G705" s="128" t="s">
        <v>331</v>
      </c>
      <c r="H705" s="129">
        <v>13.6</v>
      </c>
      <c r="I705" s="129">
        <v>0</v>
      </c>
      <c r="J705" s="130">
        <f t="shared" si="26"/>
        <v>13.6</v>
      </c>
      <c r="M705" s="52">
        <v>10382</v>
      </c>
    </row>
    <row r="706" spans="2:13" ht="15" customHeight="1" x14ac:dyDescent="0.3">
      <c r="B706" s="135">
        <v>7</v>
      </c>
      <c r="E706" s="127">
        <v>16</v>
      </c>
      <c r="F706" s="128" t="s">
        <v>275</v>
      </c>
      <c r="G706" s="128" t="s">
        <v>331</v>
      </c>
      <c r="H706" s="129">
        <v>15.74</v>
      </c>
      <c r="I706" s="129">
        <v>0</v>
      </c>
      <c r="J706" s="130">
        <f t="shared" si="26"/>
        <v>15.74</v>
      </c>
      <c r="M706" s="52">
        <v>10380</v>
      </c>
    </row>
    <row r="707" spans="2:13" ht="15" customHeight="1" x14ac:dyDescent="0.3">
      <c r="B707" s="135">
        <v>7</v>
      </c>
      <c r="E707" s="127">
        <v>16</v>
      </c>
      <c r="F707" s="128" t="s">
        <v>275</v>
      </c>
      <c r="G707" s="128" t="s">
        <v>331</v>
      </c>
      <c r="H707" s="129">
        <v>22.35</v>
      </c>
      <c r="I707" s="129">
        <v>0</v>
      </c>
      <c r="J707" s="130">
        <f t="shared" si="26"/>
        <v>22.35</v>
      </c>
      <c r="M707" s="52">
        <v>10383</v>
      </c>
    </row>
    <row r="708" spans="2:13" ht="15" customHeight="1" x14ac:dyDescent="0.3">
      <c r="B708" s="135">
        <v>7</v>
      </c>
      <c r="E708" s="127">
        <v>16</v>
      </c>
      <c r="F708" s="128" t="s">
        <v>275</v>
      </c>
      <c r="G708" s="128" t="s">
        <v>331</v>
      </c>
      <c r="H708" s="129">
        <v>89.31</v>
      </c>
      <c r="I708" s="129">
        <v>0</v>
      </c>
      <c r="J708" s="130">
        <f t="shared" si="26"/>
        <v>89.31</v>
      </c>
      <c r="M708" s="52">
        <v>10384</v>
      </c>
    </row>
    <row r="709" spans="2:13" ht="15" customHeight="1" x14ac:dyDescent="0.3">
      <c r="B709" s="135">
        <v>7</v>
      </c>
      <c r="E709" s="127">
        <v>16</v>
      </c>
      <c r="F709" s="128" t="s">
        <v>275</v>
      </c>
      <c r="G709" s="128" t="s">
        <v>331</v>
      </c>
      <c r="H709" s="129">
        <v>771.01</v>
      </c>
      <c r="I709" s="129">
        <v>0</v>
      </c>
      <c r="J709" s="130">
        <f t="shared" si="26"/>
        <v>771.01</v>
      </c>
      <c r="M709" s="52">
        <v>10381</v>
      </c>
    </row>
    <row r="710" spans="2:13" ht="15" customHeight="1" x14ac:dyDescent="0.3">
      <c r="B710" s="135">
        <v>7</v>
      </c>
      <c r="E710" s="127">
        <v>16</v>
      </c>
      <c r="F710" s="128" t="s">
        <v>275</v>
      </c>
      <c r="G710" s="128" t="s">
        <v>331</v>
      </c>
      <c r="H710" s="129">
        <v>5296.67</v>
      </c>
      <c r="I710" s="129">
        <v>0</v>
      </c>
      <c r="J710" s="130">
        <f t="shared" si="26"/>
        <v>5296.67</v>
      </c>
      <c r="M710" s="52">
        <v>10407</v>
      </c>
    </row>
    <row r="711" spans="2:13" ht="15" customHeight="1" x14ac:dyDescent="0.3">
      <c r="B711" s="135">
        <v>7</v>
      </c>
      <c r="E711" s="127">
        <v>17</v>
      </c>
      <c r="F711" s="128" t="s">
        <v>332</v>
      </c>
      <c r="G711" s="128" t="s">
        <v>334</v>
      </c>
      <c r="H711" s="129">
        <v>20675.189999999999</v>
      </c>
      <c r="I711" s="129">
        <v>0</v>
      </c>
      <c r="J711" s="130">
        <f t="shared" si="26"/>
        <v>20675.189999999999</v>
      </c>
      <c r="M711" s="52">
        <v>10387</v>
      </c>
    </row>
    <row r="712" spans="2:13" ht="15" customHeight="1" x14ac:dyDescent="0.3">
      <c r="B712" s="135">
        <v>7</v>
      </c>
      <c r="E712" s="127">
        <v>1</v>
      </c>
      <c r="F712" s="128" t="s">
        <v>261</v>
      </c>
      <c r="G712" s="128" t="s">
        <v>483</v>
      </c>
      <c r="H712" s="129">
        <v>10000</v>
      </c>
      <c r="I712" s="129">
        <v>0</v>
      </c>
      <c r="J712" s="130">
        <f t="shared" ref="J712:J724" si="27">+H712-I712</f>
        <v>10000</v>
      </c>
    </row>
    <row r="713" spans="2:13" ht="15" customHeight="1" x14ac:dyDescent="0.3">
      <c r="B713" s="135">
        <v>7</v>
      </c>
      <c r="E713" s="127">
        <v>1</v>
      </c>
      <c r="F713" s="128" t="s">
        <v>169</v>
      </c>
      <c r="G713" s="128" t="s">
        <v>484</v>
      </c>
      <c r="H713" s="129">
        <v>3888.8888888888887</v>
      </c>
      <c r="I713" s="129">
        <v>0</v>
      </c>
      <c r="J713" s="130">
        <f t="shared" si="27"/>
        <v>3888.8888888888887</v>
      </c>
    </row>
    <row r="714" spans="2:13" ht="15" customHeight="1" x14ac:dyDescent="0.3">
      <c r="B714" s="135">
        <v>7</v>
      </c>
      <c r="E714" s="127">
        <v>1</v>
      </c>
      <c r="F714" s="128" t="s">
        <v>172</v>
      </c>
      <c r="G714" s="128" t="s">
        <v>484</v>
      </c>
      <c r="H714" s="129">
        <v>3611.1111111111113</v>
      </c>
      <c r="I714" s="129">
        <v>0</v>
      </c>
      <c r="J714" s="130">
        <f t="shared" si="27"/>
        <v>3611.1111111111113</v>
      </c>
    </row>
    <row r="715" spans="2:13" ht="15" customHeight="1" x14ac:dyDescent="0.3">
      <c r="B715" s="135">
        <v>7</v>
      </c>
      <c r="E715" s="127">
        <v>2</v>
      </c>
      <c r="F715" s="128" t="s">
        <v>481</v>
      </c>
      <c r="G715" s="128" t="s">
        <v>268</v>
      </c>
      <c r="H715" s="129">
        <f>2099.41+3436.87</f>
        <v>5536.28</v>
      </c>
      <c r="I715" s="129">
        <v>0</v>
      </c>
      <c r="J715" s="130">
        <f t="shared" si="27"/>
        <v>5536.28</v>
      </c>
    </row>
    <row r="716" spans="2:13" ht="15" customHeight="1" x14ac:dyDescent="0.3">
      <c r="B716" s="135">
        <v>7</v>
      </c>
      <c r="E716" s="127">
        <v>2</v>
      </c>
      <c r="F716" s="128" t="s">
        <v>482</v>
      </c>
      <c r="G716" s="128" t="s">
        <v>268</v>
      </c>
      <c r="H716" s="129">
        <f>135.63+325+2023.57+397.57+2798.43+3754.86</f>
        <v>9435.06</v>
      </c>
      <c r="I716" s="129">
        <v>0</v>
      </c>
      <c r="J716" s="130">
        <f t="shared" si="27"/>
        <v>9435.06</v>
      </c>
    </row>
    <row r="717" spans="2:13" ht="15" customHeight="1" x14ac:dyDescent="0.3">
      <c r="B717" s="135">
        <v>7</v>
      </c>
      <c r="E717" s="127">
        <v>4</v>
      </c>
      <c r="F717" s="128" t="s">
        <v>478</v>
      </c>
      <c r="G717" s="128" t="s">
        <v>477</v>
      </c>
      <c r="H717" s="129">
        <v>8000</v>
      </c>
      <c r="I717" s="129">
        <v>800</v>
      </c>
      <c r="J717" s="130">
        <f t="shared" si="27"/>
        <v>7200</v>
      </c>
    </row>
    <row r="718" spans="2:13" ht="15" customHeight="1" x14ac:dyDescent="0.3">
      <c r="B718" s="135">
        <v>7</v>
      </c>
      <c r="E718" s="127">
        <v>7</v>
      </c>
      <c r="F718" s="128" t="s">
        <v>479</v>
      </c>
      <c r="G718" s="128" t="s">
        <v>477</v>
      </c>
      <c r="H718" s="129">
        <v>40000</v>
      </c>
      <c r="I718" s="129">
        <v>4000</v>
      </c>
      <c r="J718" s="130">
        <f t="shared" si="27"/>
        <v>36000</v>
      </c>
    </row>
    <row r="719" spans="2:13" ht="15" customHeight="1" x14ac:dyDescent="0.3">
      <c r="B719" s="135">
        <v>7</v>
      </c>
      <c r="E719" s="127">
        <v>7</v>
      </c>
      <c r="F719" s="128" t="s">
        <v>480</v>
      </c>
      <c r="G719" s="128" t="s">
        <v>268</v>
      </c>
      <c r="H719" s="129">
        <v>5452.21</v>
      </c>
      <c r="I719" s="129">
        <v>0</v>
      </c>
      <c r="J719" s="130">
        <f t="shared" si="27"/>
        <v>5452.21</v>
      </c>
    </row>
    <row r="720" spans="2:13" ht="15" customHeight="1" x14ac:dyDescent="0.3">
      <c r="B720" s="135">
        <v>7</v>
      </c>
      <c r="E720" s="127">
        <v>15</v>
      </c>
      <c r="F720" s="128" t="s">
        <v>340</v>
      </c>
      <c r="G720" s="128" t="s">
        <v>475</v>
      </c>
      <c r="H720" s="129">
        <v>86000</v>
      </c>
      <c r="I720" s="129">
        <v>8600</v>
      </c>
      <c r="J720" s="130">
        <f t="shared" si="27"/>
        <v>77400</v>
      </c>
    </row>
    <row r="721" spans="2:13" ht="15" customHeight="1" x14ac:dyDescent="0.3">
      <c r="B721" s="135">
        <v>7</v>
      </c>
      <c r="E721" s="127">
        <v>15</v>
      </c>
      <c r="F721" s="128" t="s">
        <v>340</v>
      </c>
      <c r="G721" s="128" t="s">
        <v>476</v>
      </c>
      <c r="H721" s="129">
        <v>-25000</v>
      </c>
      <c r="I721" s="129">
        <f>+H721*0.1</f>
        <v>-2500</v>
      </c>
      <c r="J721" s="130">
        <f t="shared" si="27"/>
        <v>-22500</v>
      </c>
    </row>
    <row r="722" spans="2:13" ht="15" customHeight="1" x14ac:dyDescent="0.3">
      <c r="B722" s="135">
        <v>7</v>
      </c>
      <c r="E722" s="127">
        <v>15</v>
      </c>
      <c r="F722" s="128" t="s">
        <v>471</v>
      </c>
      <c r="G722" s="128" t="s">
        <v>472</v>
      </c>
      <c r="H722" s="129">
        <v>123950.27</v>
      </c>
      <c r="I722" s="129">
        <v>24563.900000000009</v>
      </c>
      <c r="J722" s="130">
        <f t="shared" si="27"/>
        <v>99386.37</v>
      </c>
    </row>
    <row r="723" spans="2:13" ht="15" customHeight="1" x14ac:dyDescent="0.3">
      <c r="B723" s="135">
        <v>7</v>
      </c>
      <c r="E723" s="127">
        <v>16</v>
      </c>
      <c r="F723" s="128" t="s">
        <v>473</v>
      </c>
      <c r="G723" s="128" t="s">
        <v>474</v>
      </c>
      <c r="H723" s="129">
        <v>69121.179999999993</v>
      </c>
      <c r="I723" s="129">
        <v>0</v>
      </c>
      <c r="J723" s="130">
        <f t="shared" si="27"/>
        <v>69121.179999999993</v>
      </c>
    </row>
    <row r="724" spans="2:13" ht="15" customHeight="1" x14ac:dyDescent="0.3">
      <c r="B724" s="135">
        <v>7</v>
      </c>
      <c r="E724" s="127">
        <v>18</v>
      </c>
      <c r="F724" s="128" t="s">
        <v>6</v>
      </c>
      <c r="G724" s="128" t="s">
        <v>484</v>
      </c>
      <c r="H724" s="129">
        <v>16666.666666666668</v>
      </c>
      <c r="I724" s="129">
        <v>1666.666666666667</v>
      </c>
      <c r="J724" s="130">
        <f t="shared" si="27"/>
        <v>15000</v>
      </c>
    </row>
    <row r="725" spans="2:13" ht="15" customHeight="1" x14ac:dyDescent="0.3">
      <c r="B725" s="135">
        <v>8</v>
      </c>
      <c r="E725" s="127">
        <v>1</v>
      </c>
      <c r="F725" s="128" t="s">
        <v>352</v>
      </c>
      <c r="G725" s="128" t="s">
        <v>255</v>
      </c>
      <c r="H725" s="129">
        <v>817.83</v>
      </c>
      <c r="I725" s="129">
        <v>0</v>
      </c>
      <c r="J725" s="130">
        <f t="shared" ref="J725:J772" si="28">+H725-I725</f>
        <v>817.83</v>
      </c>
      <c r="M725" s="52">
        <v>10416</v>
      </c>
    </row>
    <row r="726" spans="2:13" ht="15" customHeight="1" x14ac:dyDescent="0.3">
      <c r="B726" s="135">
        <v>8</v>
      </c>
      <c r="E726" s="127">
        <v>1</v>
      </c>
      <c r="F726" s="128" t="s">
        <v>354</v>
      </c>
      <c r="G726" s="128" t="s">
        <v>255</v>
      </c>
      <c r="H726" s="129">
        <v>187.27</v>
      </c>
      <c r="I726" s="129">
        <v>0</v>
      </c>
      <c r="J726" s="130">
        <f t="shared" si="28"/>
        <v>187.27</v>
      </c>
      <c r="M726" s="52">
        <v>10419</v>
      </c>
    </row>
    <row r="727" spans="2:13" ht="15" customHeight="1" x14ac:dyDescent="0.3">
      <c r="B727" s="135">
        <v>8</v>
      </c>
      <c r="E727" s="127">
        <v>1</v>
      </c>
      <c r="F727" s="128" t="s">
        <v>354</v>
      </c>
      <c r="G727" s="128" t="s">
        <v>255</v>
      </c>
      <c r="H727" s="129">
        <v>187.27</v>
      </c>
      <c r="I727" s="129">
        <v>0</v>
      </c>
      <c r="J727" s="130">
        <f t="shared" si="28"/>
        <v>187.27</v>
      </c>
      <c r="M727" s="52">
        <v>10422</v>
      </c>
    </row>
    <row r="728" spans="2:13" ht="15" customHeight="1" x14ac:dyDescent="0.3">
      <c r="B728" s="135">
        <v>8</v>
      </c>
      <c r="E728" s="127">
        <v>1</v>
      </c>
      <c r="F728" s="128" t="s">
        <v>354</v>
      </c>
      <c r="G728" s="128" t="s">
        <v>255</v>
      </c>
      <c r="H728" s="129">
        <v>150.74</v>
      </c>
      <c r="I728" s="129">
        <v>0</v>
      </c>
      <c r="J728" s="130">
        <f t="shared" si="28"/>
        <v>150.74</v>
      </c>
      <c r="M728" s="52">
        <v>10423</v>
      </c>
    </row>
    <row r="729" spans="2:13" ht="15" customHeight="1" x14ac:dyDescent="0.3">
      <c r="B729" s="135">
        <v>8</v>
      </c>
      <c r="E729" s="127">
        <v>1</v>
      </c>
      <c r="F729" s="128" t="s">
        <v>354</v>
      </c>
      <c r="G729" s="128" t="s">
        <v>255</v>
      </c>
      <c r="H729" s="129">
        <v>150.74</v>
      </c>
      <c r="I729" s="129">
        <v>0</v>
      </c>
      <c r="J729" s="130">
        <f t="shared" si="28"/>
        <v>150.74</v>
      </c>
      <c r="M729" s="52">
        <v>10424</v>
      </c>
    </row>
    <row r="730" spans="2:13" ht="15" customHeight="1" x14ac:dyDescent="0.3">
      <c r="B730" s="135">
        <v>8</v>
      </c>
      <c r="E730" s="127">
        <v>1</v>
      </c>
      <c r="F730" s="128" t="s">
        <v>354</v>
      </c>
      <c r="G730" s="128" t="s">
        <v>255</v>
      </c>
      <c r="H730" s="129">
        <v>187.27</v>
      </c>
      <c r="I730" s="129">
        <v>0</v>
      </c>
      <c r="J730" s="130">
        <f t="shared" si="28"/>
        <v>187.27</v>
      </c>
      <c r="M730" s="52">
        <v>10430</v>
      </c>
    </row>
    <row r="731" spans="2:13" ht="15" customHeight="1" x14ac:dyDescent="0.3">
      <c r="B731" s="135">
        <v>8</v>
      </c>
      <c r="E731" s="127">
        <v>1</v>
      </c>
      <c r="F731" s="128" t="s">
        <v>257</v>
      </c>
      <c r="G731" s="128" t="s">
        <v>351</v>
      </c>
      <c r="H731" s="129">
        <v>538</v>
      </c>
      <c r="I731" s="129">
        <v>0</v>
      </c>
      <c r="J731" s="130">
        <f t="shared" si="28"/>
        <v>538</v>
      </c>
      <c r="M731" s="52">
        <v>10418</v>
      </c>
    </row>
    <row r="732" spans="2:13" ht="15" customHeight="1" x14ac:dyDescent="0.3">
      <c r="B732" s="135">
        <v>8</v>
      </c>
      <c r="E732" s="127">
        <v>1</v>
      </c>
      <c r="F732" s="128" t="s">
        <v>241</v>
      </c>
      <c r="G732" s="128" t="s">
        <v>238</v>
      </c>
      <c r="H732" s="129">
        <v>260.88</v>
      </c>
      <c r="I732" s="129">
        <v>0</v>
      </c>
      <c r="J732" s="130">
        <f t="shared" si="28"/>
        <v>260.88</v>
      </c>
      <c r="M732" s="52">
        <v>10411</v>
      </c>
    </row>
    <row r="733" spans="2:13" ht="15" customHeight="1" x14ac:dyDescent="0.3">
      <c r="B733" s="135">
        <v>8</v>
      </c>
      <c r="E733" s="127">
        <v>1</v>
      </c>
      <c r="F733" s="128" t="s">
        <v>305</v>
      </c>
      <c r="G733" s="128" t="s">
        <v>363</v>
      </c>
      <c r="H733" s="129">
        <v>1438.75</v>
      </c>
      <c r="I733" s="129">
        <v>0</v>
      </c>
      <c r="J733" s="130">
        <f t="shared" si="28"/>
        <v>1438.75</v>
      </c>
      <c r="M733" s="52">
        <v>10435</v>
      </c>
    </row>
    <row r="734" spans="2:13" ht="15" customHeight="1" x14ac:dyDescent="0.3">
      <c r="B734" s="135">
        <v>8</v>
      </c>
      <c r="E734" s="127">
        <v>1</v>
      </c>
      <c r="F734" s="128" t="s">
        <v>305</v>
      </c>
      <c r="G734" s="128" t="s">
        <v>363</v>
      </c>
      <c r="H734" s="129">
        <v>1575</v>
      </c>
      <c r="I734" s="129">
        <v>0</v>
      </c>
      <c r="J734" s="130">
        <f t="shared" si="28"/>
        <v>1575</v>
      </c>
      <c r="M734" s="52">
        <v>10436</v>
      </c>
    </row>
    <row r="735" spans="2:13" ht="15" customHeight="1" x14ac:dyDescent="0.3">
      <c r="B735" s="135">
        <v>8</v>
      </c>
      <c r="E735" s="127">
        <v>1</v>
      </c>
      <c r="F735" s="128" t="s">
        <v>305</v>
      </c>
      <c r="G735" s="128" t="s">
        <v>363</v>
      </c>
      <c r="H735" s="129">
        <v>950</v>
      </c>
      <c r="I735" s="129">
        <v>0</v>
      </c>
      <c r="J735" s="130">
        <f t="shared" si="28"/>
        <v>950</v>
      </c>
      <c r="M735" s="52">
        <v>10437</v>
      </c>
    </row>
    <row r="736" spans="2:13" ht="15" customHeight="1" x14ac:dyDescent="0.3">
      <c r="B736" s="135">
        <v>8</v>
      </c>
      <c r="E736" s="127">
        <v>1</v>
      </c>
      <c r="F736" s="128" t="s">
        <v>305</v>
      </c>
      <c r="G736" s="128" t="s">
        <v>363</v>
      </c>
      <c r="H736" s="129">
        <v>973.75</v>
      </c>
      <c r="I736" s="129">
        <v>0</v>
      </c>
      <c r="J736" s="130">
        <f t="shared" si="28"/>
        <v>973.75</v>
      </c>
      <c r="M736" s="52">
        <v>10455</v>
      </c>
    </row>
    <row r="737" spans="2:13" ht="15" customHeight="1" x14ac:dyDescent="0.3">
      <c r="B737" s="135">
        <v>8</v>
      </c>
      <c r="E737" s="127">
        <v>1</v>
      </c>
      <c r="F737" s="128" t="s">
        <v>305</v>
      </c>
      <c r="G737" s="128" t="s">
        <v>363</v>
      </c>
      <c r="H737" s="129">
        <v>240</v>
      </c>
      <c r="I737" s="129">
        <v>0</v>
      </c>
      <c r="J737" s="130">
        <f t="shared" si="28"/>
        <v>240</v>
      </c>
      <c r="M737" s="52">
        <v>10456</v>
      </c>
    </row>
    <row r="738" spans="2:13" ht="15" customHeight="1" x14ac:dyDescent="0.3">
      <c r="B738" s="135">
        <v>8</v>
      </c>
      <c r="E738" s="127">
        <v>1</v>
      </c>
      <c r="F738" s="128" t="s">
        <v>247</v>
      </c>
      <c r="G738" s="128" t="s">
        <v>485</v>
      </c>
      <c r="H738" s="129">
        <v>165.05</v>
      </c>
      <c r="I738" s="129">
        <v>0</v>
      </c>
      <c r="J738" s="130">
        <f t="shared" si="28"/>
        <v>165.05</v>
      </c>
      <c r="M738" s="52">
        <v>10425</v>
      </c>
    </row>
    <row r="739" spans="2:13" ht="15" customHeight="1" x14ac:dyDescent="0.3">
      <c r="B739" s="135">
        <v>8</v>
      </c>
      <c r="E739" s="127">
        <v>1</v>
      </c>
      <c r="F739" s="128" t="s">
        <v>247</v>
      </c>
      <c r="G739" s="128" t="s">
        <v>486</v>
      </c>
      <c r="H739" s="129">
        <v>254.72</v>
      </c>
      <c r="I739" s="129">
        <v>0</v>
      </c>
      <c r="J739" s="130">
        <f t="shared" si="28"/>
        <v>254.72</v>
      </c>
      <c r="M739" s="52">
        <v>10438</v>
      </c>
    </row>
    <row r="740" spans="2:13" ht="15" customHeight="1" x14ac:dyDescent="0.3">
      <c r="B740" s="135">
        <v>8</v>
      </c>
      <c r="E740" s="127">
        <v>1</v>
      </c>
      <c r="F740" s="128" t="s">
        <v>247</v>
      </c>
      <c r="G740" s="128" t="s">
        <v>487</v>
      </c>
      <c r="H740" s="129">
        <v>-90.06</v>
      </c>
      <c r="I740" s="129">
        <v>0</v>
      </c>
      <c r="J740" s="130">
        <f t="shared" si="28"/>
        <v>-90.06</v>
      </c>
    </row>
    <row r="741" spans="2:13" ht="15" customHeight="1" x14ac:dyDescent="0.3">
      <c r="B741" s="135">
        <v>8</v>
      </c>
      <c r="E741" s="127">
        <v>1</v>
      </c>
      <c r="F741" s="128" t="s">
        <v>488</v>
      </c>
      <c r="G741" s="128" t="s">
        <v>489</v>
      </c>
      <c r="H741" s="129">
        <v>39.42</v>
      </c>
      <c r="I741" s="129">
        <v>0</v>
      </c>
      <c r="J741" s="130">
        <f t="shared" si="28"/>
        <v>39.42</v>
      </c>
      <c r="M741" s="52">
        <v>10421</v>
      </c>
    </row>
    <row r="742" spans="2:13" ht="15" customHeight="1" x14ac:dyDescent="0.3">
      <c r="B742" s="135">
        <v>8</v>
      </c>
      <c r="E742" s="127">
        <v>1</v>
      </c>
      <c r="F742" s="128" t="s">
        <v>490</v>
      </c>
      <c r="G742" s="128" t="s">
        <v>491</v>
      </c>
      <c r="H742" s="129">
        <v>1500</v>
      </c>
      <c r="I742" s="129">
        <v>0</v>
      </c>
      <c r="J742" s="130">
        <f t="shared" si="28"/>
        <v>1500</v>
      </c>
      <c r="M742" s="52">
        <v>10445</v>
      </c>
    </row>
    <row r="743" spans="2:13" ht="15" customHeight="1" x14ac:dyDescent="0.3">
      <c r="B743" s="135">
        <v>8</v>
      </c>
      <c r="E743" s="127">
        <v>1</v>
      </c>
      <c r="F743" s="128" t="s">
        <v>285</v>
      </c>
      <c r="G743" s="128"/>
      <c r="H743" s="129">
        <v>33.96</v>
      </c>
      <c r="I743" s="129">
        <v>0</v>
      </c>
      <c r="J743" s="130">
        <f t="shared" si="28"/>
        <v>33.96</v>
      </c>
    </row>
    <row r="744" spans="2:13" ht="15" customHeight="1" x14ac:dyDescent="0.3">
      <c r="B744" s="135">
        <v>8</v>
      </c>
      <c r="E744" s="127">
        <v>1</v>
      </c>
      <c r="F744" s="128" t="s">
        <v>285</v>
      </c>
      <c r="G744" s="128"/>
      <c r="H744" s="129">
        <v>27.57</v>
      </c>
      <c r="I744" s="129">
        <v>0</v>
      </c>
      <c r="J744" s="130">
        <f t="shared" si="28"/>
        <v>27.57</v>
      </c>
    </row>
    <row r="745" spans="2:13" ht="15" customHeight="1" x14ac:dyDescent="0.3">
      <c r="B745" s="135">
        <v>8</v>
      </c>
      <c r="E745" s="127">
        <v>1</v>
      </c>
      <c r="F745" s="128" t="s">
        <v>285</v>
      </c>
      <c r="G745" s="128"/>
      <c r="H745" s="129">
        <v>28</v>
      </c>
      <c r="I745" s="129">
        <v>0</v>
      </c>
      <c r="J745" s="130">
        <f t="shared" si="28"/>
        <v>28</v>
      </c>
    </row>
    <row r="746" spans="2:13" ht="15" customHeight="1" x14ac:dyDescent="0.3">
      <c r="B746" s="135">
        <v>8</v>
      </c>
      <c r="E746" s="127">
        <v>1</v>
      </c>
      <c r="F746" s="128" t="s">
        <v>285</v>
      </c>
      <c r="G746" s="128"/>
      <c r="H746" s="129">
        <v>31.16</v>
      </c>
      <c r="I746" s="129">
        <v>0</v>
      </c>
      <c r="J746" s="130">
        <f t="shared" si="28"/>
        <v>31.16</v>
      </c>
    </row>
    <row r="747" spans="2:13" ht="15" customHeight="1" x14ac:dyDescent="0.3">
      <c r="B747" s="135">
        <v>8</v>
      </c>
      <c r="E747" s="127">
        <v>1</v>
      </c>
      <c r="F747" s="128" t="s">
        <v>285</v>
      </c>
      <c r="G747" s="128"/>
      <c r="H747" s="129">
        <v>13.4</v>
      </c>
      <c r="I747" s="129">
        <v>0</v>
      </c>
      <c r="J747" s="130">
        <f t="shared" si="28"/>
        <v>13.4</v>
      </c>
    </row>
    <row r="748" spans="2:13" ht="15" customHeight="1" x14ac:dyDescent="0.3">
      <c r="B748" s="135">
        <v>8</v>
      </c>
      <c r="E748" s="127">
        <v>1</v>
      </c>
      <c r="F748" s="128" t="s">
        <v>285</v>
      </c>
      <c r="G748" s="128"/>
      <c r="H748" s="129">
        <v>11.83</v>
      </c>
      <c r="I748" s="129">
        <v>0</v>
      </c>
      <c r="J748" s="130">
        <f t="shared" si="28"/>
        <v>11.83</v>
      </c>
    </row>
    <row r="749" spans="2:13" ht="15" customHeight="1" x14ac:dyDescent="0.3">
      <c r="B749" s="135">
        <v>8</v>
      </c>
      <c r="E749" s="127">
        <v>1</v>
      </c>
      <c r="F749" s="128" t="s">
        <v>259</v>
      </c>
      <c r="G749" s="128" t="s">
        <v>260</v>
      </c>
      <c r="H749" s="129">
        <v>1515.5</v>
      </c>
      <c r="I749" s="129">
        <v>0</v>
      </c>
      <c r="J749" s="130">
        <f t="shared" si="28"/>
        <v>1515.5</v>
      </c>
      <c r="M749" s="52">
        <v>10451</v>
      </c>
    </row>
    <row r="750" spans="2:13" ht="15" customHeight="1" x14ac:dyDescent="0.3">
      <c r="B750" s="135">
        <v>8</v>
      </c>
      <c r="E750" s="127">
        <v>1</v>
      </c>
      <c r="F750" s="128" t="s">
        <v>259</v>
      </c>
      <c r="G750" s="128" t="s">
        <v>260</v>
      </c>
      <c r="H750" s="129">
        <v>1515.5</v>
      </c>
      <c r="I750" s="129">
        <v>0</v>
      </c>
      <c r="J750" s="130">
        <f t="shared" si="28"/>
        <v>1515.5</v>
      </c>
      <c r="M750" s="52">
        <v>10452</v>
      </c>
    </row>
    <row r="751" spans="2:13" ht="15" customHeight="1" x14ac:dyDescent="0.3">
      <c r="B751" s="135">
        <v>8</v>
      </c>
      <c r="E751" s="127">
        <v>2</v>
      </c>
      <c r="F751" s="128" t="s">
        <v>446</v>
      </c>
      <c r="G751" s="128" t="s">
        <v>447</v>
      </c>
      <c r="H751" s="129">
        <v>13163.61</v>
      </c>
      <c r="I751" s="129">
        <v>0</v>
      </c>
      <c r="J751" s="130">
        <f t="shared" si="28"/>
        <v>13163.61</v>
      </c>
      <c r="M751" s="52">
        <v>10409</v>
      </c>
    </row>
    <row r="752" spans="2:13" ht="15" customHeight="1" x14ac:dyDescent="0.3">
      <c r="B752" s="135">
        <v>8</v>
      </c>
      <c r="E752" s="127">
        <v>2</v>
      </c>
      <c r="F752" s="128" t="s">
        <v>450</v>
      </c>
      <c r="G752" s="128" t="s">
        <v>451</v>
      </c>
      <c r="H752" s="129">
        <v>2002.63</v>
      </c>
      <c r="I752" s="129">
        <v>0</v>
      </c>
      <c r="J752" s="130">
        <f t="shared" si="28"/>
        <v>2002.63</v>
      </c>
      <c r="M752" s="52">
        <v>10410</v>
      </c>
    </row>
    <row r="753" spans="2:13" ht="15" customHeight="1" x14ac:dyDescent="0.3">
      <c r="B753" s="135">
        <v>8</v>
      </c>
      <c r="E753" s="127">
        <v>2</v>
      </c>
      <c r="F753" s="128" t="s">
        <v>184</v>
      </c>
      <c r="G753" s="128" t="s">
        <v>445</v>
      </c>
      <c r="H753" s="129">
        <v>375</v>
      </c>
      <c r="I753" s="129">
        <v>0</v>
      </c>
      <c r="J753" s="130">
        <f t="shared" si="28"/>
        <v>375</v>
      </c>
      <c r="M753" s="52">
        <v>10453</v>
      </c>
    </row>
    <row r="754" spans="2:13" ht="15" customHeight="1" x14ac:dyDescent="0.3">
      <c r="B754" s="135">
        <v>8</v>
      </c>
      <c r="E754" s="127">
        <v>3</v>
      </c>
      <c r="F754" s="128" t="s">
        <v>496</v>
      </c>
      <c r="G754" s="128" t="s">
        <v>441</v>
      </c>
      <c r="H754" s="129">
        <v>3060</v>
      </c>
      <c r="I754" s="129">
        <v>0</v>
      </c>
      <c r="J754" s="130">
        <f t="shared" si="28"/>
        <v>3060</v>
      </c>
      <c r="M754" s="52">
        <v>10454</v>
      </c>
    </row>
    <row r="755" spans="2:13" ht="15" customHeight="1" x14ac:dyDescent="0.3">
      <c r="B755" s="135">
        <v>8</v>
      </c>
      <c r="E755" s="127">
        <v>6</v>
      </c>
      <c r="F755" s="128" t="s">
        <v>264</v>
      </c>
      <c r="G755" s="128" t="s">
        <v>497</v>
      </c>
      <c r="H755" s="129">
        <v>5102.78</v>
      </c>
      <c r="I755" s="129">
        <v>0</v>
      </c>
      <c r="J755" s="130">
        <f t="shared" si="28"/>
        <v>5102.78</v>
      </c>
      <c r="M755" s="52">
        <v>10417</v>
      </c>
    </row>
    <row r="756" spans="2:13" ht="15" customHeight="1" x14ac:dyDescent="0.3">
      <c r="B756" s="135">
        <v>8</v>
      </c>
      <c r="E756" s="127">
        <v>6</v>
      </c>
      <c r="F756" s="128" t="s">
        <v>264</v>
      </c>
      <c r="G756" s="128" t="s">
        <v>498</v>
      </c>
      <c r="H756" s="129">
        <v>138.99</v>
      </c>
      <c r="I756" s="129">
        <v>0</v>
      </c>
      <c r="J756" s="130">
        <f t="shared" si="28"/>
        <v>138.99</v>
      </c>
      <c r="M756" s="52">
        <v>10414</v>
      </c>
    </row>
    <row r="757" spans="2:13" ht="15" customHeight="1" x14ac:dyDescent="0.3">
      <c r="B757" s="135">
        <v>8</v>
      </c>
      <c r="E757" s="127">
        <v>6</v>
      </c>
      <c r="F757" s="128" t="s">
        <v>264</v>
      </c>
      <c r="G757" s="128" t="s">
        <v>499</v>
      </c>
      <c r="H757" s="129">
        <v>253.74</v>
      </c>
      <c r="I757" s="129">
        <v>0</v>
      </c>
      <c r="J757" s="130">
        <f t="shared" si="28"/>
        <v>253.74</v>
      </c>
      <c r="M757" s="52">
        <v>10415</v>
      </c>
    </row>
    <row r="758" spans="2:13" ht="15" customHeight="1" x14ac:dyDescent="0.3">
      <c r="B758" s="135">
        <v>8</v>
      </c>
      <c r="E758" s="127">
        <v>6</v>
      </c>
      <c r="F758" s="128" t="s">
        <v>264</v>
      </c>
      <c r="G758" s="128" t="s">
        <v>500</v>
      </c>
      <c r="H758" s="129">
        <v>130.66</v>
      </c>
      <c r="I758" s="129">
        <v>0</v>
      </c>
      <c r="J758" s="130">
        <f t="shared" si="28"/>
        <v>130.66</v>
      </c>
      <c r="M758" s="52">
        <v>10420</v>
      </c>
    </row>
    <row r="759" spans="2:13" ht="15" customHeight="1" x14ac:dyDescent="0.3">
      <c r="B759" s="135">
        <v>8</v>
      </c>
      <c r="E759" s="127">
        <v>6</v>
      </c>
      <c r="F759" s="128" t="s">
        <v>264</v>
      </c>
      <c r="G759" s="128" t="s">
        <v>501</v>
      </c>
      <c r="H759" s="129">
        <v>912.43</v>
      </c>
      <c r="I759" s="129">
        <v>0</v>
      </c>
      <c r="J759" s="130">
        <f t="shared" si="28"/>
        <v>912.43</v>
      </c>
      <c r="M759" s="52">
        <v>10413</v>
      </c>
    </row>
    <row r="760" spans="2:13" ht="15" customHeight="1" x14ac:dyDescent="0.3">
      <c r="B760" s="135">
        <v>8</v>
      </c>
      <c r="E760" s="127">
        <v>6</v>
      </c>
      <c r="F760" s="128" t="s">
        <v>264</v>
      </c>
      <c r="G760" s="128" t="s">
        <v>502</v>
      </c>
      <c r="H760" s="129">
        <v>70.739999999999995</v>
      </c>
      <c r="I760" s="129">
        <v>0</v>
      </c>
      <c r="J760" s="130">
        <f t="shared" si="28"/>
        <v>70.739999999999995</v>
      </c>
      <c r="M760" s="52">
        <v>10412</v>
      </c>
    </row>
    <row r="761" spans="2:13" ht="15" customHeight="1" x14ac:dyDescent="0.3">
      <c r="B761" s="135">
        <v>8</v>
      </c>
      <c r="E761" s="127">
        <v>6</v>
      </c>
      <c r="F761" s="128" t="s">
        <v>264</v>
      </c>
      <c r="G761" s="128" t="s">
        <v>461</v>
      </c>
      <c r="H761" s="129">
        <v>880.72</v>
      </c>
      <c r="I761" s="129">
        <v>0</v>
      </c>
      <c r="J761" s="130">
        <f t="shared" si="28"/>
        <v>880.72</v>
      </c>
      <c r="M761" s="52">
        <v>10428</v>
      </c>
    </row>
    <row r="762" spans="2:13" ht="15" customHeight="1" x14ac:dyDescent="0.3">
      <c r="B762" s="135">
        <v>8</v>
      </c>
      <c r="E762" s="127">
        <v>6</v>
      </c>
      <c r="F762" s="128" t="s">
        <v>264</v>
      </c>
      <c r="G762" s="128" t="s">
        <v>461</v>
      </c>
      <c r="H762" s="129">
        <v>535.29999999999995</v>
      </c>
      <c r="I762" s="129">
        <v>0</v>
      </c>
      <c r="J762" s="130">
        <f t="shared" si="28"/>
        <v>535.29999999999995</v>
      </c>
      <c r="M762" s="52">
        <v>10429</v>
      </c>
    </row>
    <row r="763" spans="2:13" ht="15" customHeight="1" x14ac:dyDescent="0.3">
      <c r="B763" s="135">
        <v>8</v>
      </c>
      <c r="E763" s="127">
        <v>6</v>
      </c>
      <c r="F763" s="128" t="s">
        <v>264</v>
      </c>
      <c r="G763" s="128" t="s">
        <v>461</v>
      </c>
      <c r="H763" s="129">
        <v>2159.56</v>
      </c>
      <c r="I763" s="129">
        <v>0</v>
      </c>
      <c r="J763" s="130">
        <f t="shared" si="28"/>
        <v>2159.56</v>
      </c>
      <c r="M763" s="52">
        <v>10449</v>
      </c>
    </row>
    <row r="764" spans="2:13" ht="15" customHeight="1" x14ac:dyDescent="0.3">
      <c r="B764" s="135">
        <v>8</v>
      </c>
      <c r="E764" s="127">
        <v>6</v>
      </c>
      <c r="F764" s="128" t="s">
        <v>503</v>
      </c>
      <c r="G764" s="128" t="s">
        <v>504</v>
      </c>
      <c r="H764" s="129">
        <v>5405.4</v>
      </c>
      <c r="I764" s="129">
        <v>0</v>
      </c>
      <c r="J764" s="130">
        <f t="shared" si="28"/>
        <v>5405.4</v>
      </c>
      <c r="M764" s="52">
        <v>10450</v>
      </c>
    </row>
    <row r="765" spans="2:13" ht="15" customHeight="1" x14ac:dyDescent="0.3">
      <c r="B765" s="135">
        <v>8</v>
      </c>
      <c r="E765" s="127">
        <v>6</v>
      </c>
      <c r="F765" s="128" t="s">
        <v>253</v>
      </c>
      <c r="G765" s="128" t="s">
        <v>505</v>
      </c>
      <c r="H765" s="129">
        <v>3000</v>
      </c>
      <c r="I765" s="129">
        <v>300</v>
      </c>
      <c r="J765" s="130">
        <f t="shared" si="28"/>
        <v>2700</v>
      </c>
      <c r="M765" s="52">
        <v>10431</v>
      </c>
    </row>
    <row r="766" spans="2:13" ht="15" customHeight="1" x14ac:dyDescent="0.3">
      <c r="B766" s="135">
        <v>8</v>
      </c>
      <c r="E766" s="127">
        <v>6</v>
      </c>
      <c r="F766" s="128" t="s">
        <v>253</v>
      </c>
      <c r="G766" s="128" t="s">
        <v>506</v>
      </c>
      <c r="H766" s="129">
        <v>2800</v>
      </c>
      <c r="I766" s="129">
        <v>280</v>
      </c>
      <c r="J766" s="130">
        <f t="shared" si="28"/>
        <v>2520</v>
      </c>
      <c r="M766" s="52">
        <v>10432</v>
      </c>
    </row>
    <row r="767" spans="2:13" ht="15" customHeight="1" x14ac:dyDescent="0.3">
      <c r="B767" s="135">
        <v>8</v>
      </c>
      <c r="E767" s="127">
        <v>6</v>
      </c>
      <c r="F767" s="128" t="s">
        <v>253</v>
      </c>
      <c r="G767" s="128" t="s">
        <v>507</v>
      </c>
      <c r="H767" s="129">
        <v>8100</v>
      </c>
      <c r="I767" s="129">
        <v>810</v>
      </c>
      <c r="J767" s="130">
        <f t="shared" si="28"/>
        <v>7290</v>
      </c>
      <c r="M767" s="52">
        <v>10441</v>
      </c>
    </row>
    <row r="768" spans="2:13" ht="15" customHeight="1" x14ac:dyDescent="0.3">
      <c r="B768" s="135">
        <v>8</v>
      </c>
      <c r="E768" s="127">
        <v>7</v>
      </c>
      <c r="F768" s="128" t="s">
        <v>468</v>
      </c>
      <c r="G768" s="128" t="s">
        <v>508</v>
      </c>
      <c r="H768" s="129">
        <v>10327.719999999999</v>
      </c>
      <c r="I768" s="129">
        <v>0</v>
      </c>
      <c r="J768" s="130">
        <f t="shared" si="28"/>
        <v>10327.719999999999</v>
      </c>
      <c r="M768" s="52">
        <v>10426</v>
      </c>
    </row>
    <row r="769" spans="2:13" ht="15" customHeight="1" x14ac:dyDescent="0.3">
      <c r="B769" s="135">
        <v>8</v>
      </c>
      <c r="E769" s="127">
        <v>7</v>
      </c>
      <c r="F769" s="128" t="s">
        <v>509</v>
      </c>
      <c r="G769" s="128" t="s">
        <v>508</v>
      </c>
      <c r="H769" s="129">
        <v>2868.2</v>
      </c>
      <c r="I769" s="129">
        <v>0</v>
      </c>
      <c r="J769" s="130">
        <f t="shared" si="28"/>
        <v>2868.2</v>
      </c>
    </row>
    <row r="770" spans="2:13" ht="15" customHeight="1" x14ac:dyDescent="0.3">
      <c r="B770" s="135">
        <v>8</v>
      </c>
      <c r="E770" s="127">
        <v>13</v>
      </c>
      <c r="F770" s="128" t="s">
        <v>515</v>
      </c>
      <c r="G770" s="128" t="s">
        <v>516</v>
      </c>
      <c r="H770" s="129">
        <v>11800</v>
      </c>
      <c r="I770" s="129">
        <v>0</v>
      </c>
      <c r="J770" s="130">
        <f t="shared" si="28"/>
        <v>11800</v>
      </c>
      <c r="M770" s="52">
        <v>10427</v>
      </c>
    </row>
    <row r="771" spans="2:13" ht="15" customHeight="1" x14ac:dyDescent="0.3">
      <c r="B771" s="135">
        <v>8</v>
      </c>
      <c r="E771" s="127">
        <v>16</v>
      </c>
      <c r="F771" s="128" t="s">
        <v>275</v>
      </c>
      <c r="G771" s="128" t="s">
        <v>331</v>
      </c>
      <c r="H771" s="129">
        <v>7.13</v>
      </c>
      <c r="I771" s="129">
        <v>0</v>
      </c>
      <c r="J771" s="130">
        <f t="shared" si="28"/>
        <v>7.13</v>
      </c>
      <c r="M771" s="52">
        <v>10408</v>
      </c>
    </row>
    <row r="772" spans="2:13" ht="15" customHeight="1" x14ac:dyDescent="0.3">
      <c r="B772" s="135">
        <v>8</v>
      </c>
      <c r="E772" s="127">
        <v>16</v>
      </c>
      <c r="F772" s="128" t="s">
        <v>518</v>
      </c>
      <c r="G772" s="128" t="s">
        <v>519</v>
      </c>
      <c r="H772" s="129">
        <v>18750</v>
      </c>
      <c r="I772" s="129">
        <v>1875</v>
      </c>
      <c r="J772" s="130">
        <f t="shared" si="28"/>
        <v>16875</v>
      </c>
      <c r="M772" s="52">
        <v>10448</v>
      </c>
    </row>
    <row r="773" spans="2:13" ht="15" customHeight="1" x14ac:dyDescent="0.3">
      <c r="B773" s="135">
        <v>8</v>
      </c>
      <c r="E773" s="127">
        <v>1</v>
      </c>
      <c r="F773" s="128" t="s">
        <v>261</v>
      </c>
      <c r="G773" s="128" t="s">
        <v>492</v>
      </c>
      <c r="H773" s="129">
        <v>10000</v>
      </c>
      <c r="I773" s="129">
        <v>0</v>
      </c>
      <c r="J773" s="130">
        <f t="shared" ref="J773:J836" si="29">+H773-I773</f>
        <v>10000</v>
      </c>
    </row>
    <row r="774" spans="2:13" ht="15" customHeight="1" x14ac:dyDescent="0.3">
      <c r="B774" s="135">
        <v>8</v>
      </c>
      <c r="E774" s="127">
        <v>1</v>
      </c>
      <c r="F774" s="128" t="s">
        <v>169</v>
      </c>
      <c r="G774" s="128" t="s">
        <v>493</v>
      </c>
      <c r="H774" s="129">
        <v>3888.8888888888887</v>
      </c>
      <c r="I774" s="129">
        <v>0</v>
      </c>
      <c r="J774" s="130">
        <f t="shared" si="29"/>
        <v>3888.8888888888887</v>
      </c>
    </row>
    <row r="775" spans="2:13" ht="15" customHeight="1" x14ac:dyDescent="0.3">
      <c r="B775" s="135">
        <v>8</v>
      </c>
      <c r="E775" s="127">
        <v>1</v>
      </c>
      <c r="F775" s="128" t="s">
        <v>172</v>
      </c>
      <c r="G775" s="128" t="s">
        <v>493</v>
      </c>
      <c r="H775" s="129">
        <v>3611.1111111111113</v>
      </c>
      <c r="I775" s="129">
        <v>0</v>
      </c>
      <c r="J775" s="130">
        <f t="shared" si="29"/>
        <v>3611.1111111111113</v>
      </c>
    </row>
    <row r="776" spans="2:13" ht="15" customHeight="1" x14ac:dyDescent="0.3">
      <c r="B776" s="135">
        <v>8</v>
      </c>
      <c r="E776" s="127">
        <v>2</v>
      </c>
      <c r="F776" s="128" t="s">
        <v>494</v>
      </c>
      <c r="G776" s="128" t="s">
        <v>183</v>
      </c>
      <c r="H776" s="129">
        <v>1710</v>
      </c>
      <c r="I776" s="129">
        <v>0</v>
      </c>
      <c r="J776" s="130">
        <f t="shared" si="29"/>
        <v>1710</v>
      </c>
    </row>
    <row r="777" spans="2:13" ht="15" customHeight="1" x14ac:dyDescent="0.3">
      <c r="B777" s="135">
        <v>8</v>
      </c>
      <c r="E777" s="127">
        <v>2</v>
      </c>
      <c r="F777" s="128" t="s">
        <v>481</v>
      </c>
      <c r="G777" s="128" t="s">
        <v>495</v>
      </c>
      <c r="H777" s="129">
        <v>3625.58</v>
      </c>
      <c r="I777" s="129">
        <v>0</v>
      </c>
      <c r="J777" s="130">
        <f t="shared" si="29"/>
        <v>3625.58</v>
      </c>
    </row>
    <row r="778" spans="2:13" ht="15" customHeight="1" x14ac:dyDescent="0.3">
      <c r="B778" s="135">
        <v>8</v>
      </c>
      <c r="E778" s="127">
        <v>2</v>
      </c>
      <c r="F778" s="128" t="s">
        <v>482</v>
      </c>
      <c r="G778" s="128" t="s">
        <v>268</v>
      </c>
      <c r="H778" s="129">
        <v>8917.11</v>
      </c>
      <c r="I778" s="129">
        <v>0</v>
      </c>
      <c r="J778" s="130">
        <f t="shared" si="29"/>
        <v>8917.11</v>
      </c>
    </row>
    <row r="779" spans="2:13" ht="15" customHeight="1" x14ac:dyDescent="0.3">
      <c r="B779" s="135">
        <v>8</v>
      </c>
      <c r="E779" s="127">
        <v>7</v>
      </c>
      <c r="F779" s="128" t="s">
        <v>510</v>
      </c>
      <c r="G779" s="128" t="s">
        <v>511</v>
      </c>
      <c r="H779" s="129">
        <v>90000</v>
      </c>
      <c r="I779" s="129">
        <v>9000</v>
      </c>
      <c r="J779" s="130">
        <f t="shared" si="29"/>
        <v>81000</v>
      </c>
    </row>
    <row r="780" spans="2:13" ht="15" customHeight="1" x14ac:dyDescent="0.3">
      <c r="B780" s="135">
        <v>8</v>
      </c>
      <c r="E780" s="127">
        <v>7</v>
      </c>
      <c r="F780" s="128" t="s">
        <v>480</v>
      </c>
      <c r="G780" s="128" t="s">
        <v>512</v>
      </c>
      <c r="H780" s="129">
        <v>5149.1099999999997</v>
      </c>
      <c r="I780" s="129">
        <v>0</v>
      </c>
      <c r="J780" s="130">
        <f t="shared" si="29"/>
        <v>5149.1099999999997</v>
      </c>
    </row>
    <row r="781" spans="2:13" ht="15" customHeight="1" x14ac:dyDescent="0.3">
      <c r="B781" s="135">
        <v>8</v>
      </c>
      <c r="E781" s="127">
        <v>9</v>
      </c>
      <c r="F781" s="128" t="s">
        <v>513</v>
      </c>
      <c r="G781" s="128" t="s">
        <v>514</v>
      </c>
      <c r="H781" s="129">
        <v>13150</v>
      </c>
      <c r="I781" s="129">
        <v>1315</v>
      </c>
      <c r="J781" s="130">
        <f t="shared" si="29"/>
        <v>11835</v>
      </c>
    </row>
    <row r="782" spans="2:13" ht="15" customHeight="1" x14ac:dyDescent="0.3">
      <c r="B782" s="135">
        <v>8</v>
      </c>
      <c r="E782" s="127">
        <v>15</v>
      </c>
      <c r="F782" s="128" t="s">
        <v>340</v>
      </c>
      <c r="G782" s="128" t="s">
        <v>517</v>
      </c>
      <c r="H782" s="129">
        <v>52000</v>
      </c>
      <c r="I782" s="129">
        <v>5200</v>
      </c>
      <c r="J782" s="130">
        <f t="shared" si="29"/>
        <v>46800</v>
      </c>
    </row>
    <row r="783" spans="2:13" ht="15" customHeight="1" x14ac:dyDescent="0.3">
      <c r="B783" s="135">
        <v>8</v>
      </c>
      <c r="E783" s="127">
        <v>16</v>
      </c>
      <c r="F783" s="128" t="s">
        <v>520</v>
      </c>
      <c r="G783" s="128" t="s">
        <v>521</v>
      </c>
      <c r="H783" s="129">
        <v>16400</v>
      </c>
      <c r="I783" s="129">
        <v>1640</v>
      </c>
      <c r="J783" s="130">
        <f t="shared" si="29"/>
        <v>14760</v>
      </c>
    </row>
    <row r="784" spans="2:13" ht="15" customHeight="1" x14ac:dyDescent="0.3">
      <c r="B784" s="135">
        <v>8</v>
      </c>
      <c r="E784" s="127">
        <v>18</v>
      </c>
      <c r="F784" s="128" t="s">
        <v>6</v>
      </c>
      <c r="G784" s="128" t="s">
        <v>493</v>
      </c>
      <c r="H784" s="129">
        <v>16666.666666666668</v>
      </c>
      <c r="I784" s="129">
        <v>1666.666666666667</v>
      </c>
      <c r="J784" s="130">
        <f t="shared" si="29"/>
        <v>15000</v>
      </c>
    </row>
    <row r="785" spans="2:13" ht="15" customHeight="1" x14ac:dyDescent="0.3">
      <c r="B785" s="135">
        <v>9</v>
      </c>
      <c r="E785" s="151">
        <v>1</v>
      </c>
      <c r="F785" s="152" t="s">
        <v>248</v>
      </c>
      <c r="G785" s="152" t="s">
        <v>286</v>
      </c>
      <c r="H785" s="153">
        <v>10</v>
      </c>
      <c r="I785" s="153">
        <v>0</v>
      </c>
      <c r="J785" s="154">
        <f t="shared" si="29"/>
        <v>10</v>
      </c>
    </row>
    <row r="786" spans="2:13" ht="15" customHeight="1" x14ac:dyDescent="0.3">
      <c r="B786" s="135">
        <v>9</v>
      </c>
      <c r="E786" s="151">
        <v>1</v>
      </c>
      <c r="F786" s="152" t="s">
        <v>352</v>
      </c>
      <c r="G786" s="152" t="s">
        <v>255</v>
      </c>
      <c r="H786" s="153">
        <v>817.83</v>
      </c>
      <c r="I786" s="153">
        <v>0</v>
      </c>
      <c r="J786" s="154">
        <f t="shared" si="29"/>
        <v>817.83</v>
      </c>
      <c r="M786" s="52">
        <v>10467</v>
      </c>
    </row>
    <row r="787" spans="2:13" ht="15" customHeight="1" x14ac:dyDescent="0.3">
      <c r="B787" s="135">
        <v>9</v>
      </c>
      <c r="E787" s="151">
        <v>1</v>
      </c>
      <c r="F787" s="152" t="s">
        <v>354</v>
      </c>
      <c r="G787" s="152" t="s">
        <v>255</v>
      </c>
      <c r="H787" s="153">
        <v>187.27</v>
      </c>
      <c r="I787" s="153">
        <v>0</v>
      </c>
      <c r="J787" s="154">
        <f t="shared" si="29"/>
        <v>187.27</v>
      </c>
      <c r="M787" s="52">
        <v>10466</v>
      </c>
    </row>
    <row r="788" spans="2:13" ht="15" customHeight="1" x14ac:dyDescent="0.3">
      <c r="B788" s="135">
        <v>9</v>
      </c>
      <c r="E788" s="151">
        <v>1</v>
      </c>
      <c r="F788" s="152" t="s">
        <v>354</v>
      </c>
      <c r="G788" s="152" t="s">
        <v>255</v>
      </c>
      <c r="H788" s="153">
        <v>187.27</v>
      </c>
      <c r="I788" s="153">
        <v>0</v>
      </c>
      <c r="J788" s="154">
        <f t="shared" si="29"/>
        <v>187.27</v>
      </c>
      <c r="M788" s="52">
        <v>10465</v>
      </c>
    </row>
    <row r="789" spans="2:13" ht="15" customHeight="1" x14ac:dyDescent="0.3">
      <c r="B789" s="135">
        <v>9</v>
      </c>
      <c r="E789" s="151">
        <v>1</v>
      </c>
      <c r="F789" s="152" t="s">
        <v>353</v>
      </c>
      <c r="G789" s="152" t="s">
        <v>255</v>
      </c>
      <c r="H789" s="153">
        <v>1038.1199999999999</v>
      </c>
      <c r="I789" s="153">
        <v>0</v>
      </c>
      <c r="J789" s="154">
        <f t="shared" si="29"/>
        <v>1038.1199999999999</v>
      </c>
      <c r="M789" s="52">
        <v>10464</v>
      </c>
    </row>
    <row r="790" spans="2:13" ht="15" customHeight="1" x14ac:dyDescent="0.3">
      <c r="B790" s="135">
        <v>9</v>
      </c>
      <c r="E790" s="151">
        <v>1</v>
      </c>
      <c r="F790" s="152" t="s">
        <v>353</v>
      </c>
      <c r="G790" s="152" t="s">
        <v>255</v>
      </c>
      <c r="H790" s="153">
        <v>1038.1199999999999</v>
      </c>
      <c r="I790" s="153">
        <v>0</v>
      </c>
      <c r="J790" s="154">
        <f t="shared" si="29"/>
        <v>1038.1199999999999</v>
      </c>
      <c r="M790" s="52">
        <v>10463</v>
      </c>
    </row>
    <row r="791" spans="2:13" ht="15" customHeight="1" x14ac:dyDescent="0.3">
      <c r="B791" s="135">
        <v>9</v>
      </c>
      <c r="E791" s="151">
        <v>1</v>
      </c>
      <c r="F791" s="152" t="s">
        <v>354</v>
      </c>
      <c r="G791" s="152" t="s">
        <v>255</v>
      </c>
      <c r="H791" s="153">
        <v>187.27</v>
      </c>
      <c r="I791" s="153">
        <v>0</v>
      </c>
      <c r="J791" s="154">
        <f t="shared" si="29"/>
        <v>187.27</v>
      </c>
      <c r="M791" s="52">
        <v>10462</v>
      </c>
    </row>
    <row r="792" spans="2:13" ht="15" customHeight="1" x14ac:dyDescent="0.3">
      <c r="B792" s="135">
        <v>9</v>
      </c>
      <c r="E792" s="151">
        <v>1</v>
      </c>
      <c r="F792" s="152" t="s">
        <v>354</v>
      </c>
      <c r="G792" s="152" t="s">
        <v>255</v>
      </c>
      <c r="H792" s="153">
        <v>187.27</v>
      </c>
      <c r="I792" s="153">
        <v>0</v>
      </c>
      <c r="J792" s="154">
        <f t="shared" si="29"/>
        <v>187.27</v>
      </c>
      <c r="M792" s="52">
        <v>10461</v>
      </c>
    </row>
    <row r="793" spans="2:13" ht="15" customHeight="1" x14ac:dyDescent="0.3">
      <c r="B793" s="135">
        <v>9</v>
      </c>
      <c r="E793" s="151">
        <v>1</v>
      </c>
      <c r="F793" s="152" t="s">
        <v>354</v>
      </c>
      <c r="G793" s="152" t="s">
        <v>255</v>
      </c>
      <c r="H793" s="153">
        <v>150.74</v>
      </c>
      <c r="I793" s="153">
        <v>0</v>
      </c>
      <c r="J793" s="154">
        <f t="shared" si="29"/>
        <v>150.74</v>
      </c>
      <c r="M793" s="52">
        <v>10460</v>
      </c>
    </row>
    <row r="794" spans="2:13" ht="15" customHeight="1" x14ac:dyDescent="0.3">
      <c r="B794" s="135">
        <v>9</v>
      </c>
      <c r="E794" s="151">
        <v>1</v>
      </c>
      <c r="F794" s="152" t="s">
        <v>354</v>
      </c>
      <c r="G794" s="152" t="s">
        <v>255</v>
      </c>
      <c r="H794" s="153">
        <v>150.74</v>
      </c>
      <c r="I794" s="153">
        <v>0</v>
      </c>
      <c r="J794" s="154">
        <f t="shared" si="29"/>
        <v>150.74</v>
      </c>
      <c r="M794" s="52">
        <v>10459</v>
      </c>
    </row>
    <row r="795" spans="2:13" ht="15" customHeight="1" x14ac:dyDescent="0.3">
      <c r="B795" s="135">
        <v>9</v>
      </c>
      <c r="E795" s="151">
        <v>1</v>
      </c>
      <c r="F795" s="152" t="s">
        <v>354</v>
      </c>
      <c r="G795" s="152" t="s">
        <v>255</v>
      </c>
      <c r="H795" s="153">
        <v>81.19</v>
      </c>
      <c r="I795" s="153">
        <v>0</v>
      </c>
      <c r="J795" s="154">
        <f t="shared" si="29"/>
        <v>81.19</v>
      </c>
      <c r="M795" s="52">
        <v>10458</v>
      </c>
    </row>
    <row r="796" spans="2:13" ht="15" customHeight="1" x14ac:dyDescent="0.3">
      <c r="B796" s="135">
        <v>9</v>
      </c>
      <c r="E796" s="151">
        <v>1</v>
      </c>
      <c r="F796" s="152" t="s">
        <v>305</v>
      </c>
      <c r="G796" s="152" t="s">
        <v>363</v>
      </c>
      <c r="H796" s="153">
        <v>225</v>
      </c>
      <c r="I796" s="153">
        <v>0</v>
      </c>
      <c r="J796" s="154">
        <f t="shared" si="29"/>
        <v>225</v>
      </c>
      <c r="M796" s="52">
        <v>10473</v>
      </c>
    </row>
    <row r="797" spans="2:13" ht="15" customHeight="1" x14ac:dyDescent="0.3">
      <c r="B797" s="135">
        <v>9</v>
      </c>
      <c r="E797" s="151">
        <v>1</v>
      </c>
      <c r="F797" s="152" t="s">
        <v>305</v>
      </c>
      <c r="G797" s="152" t="s">
        <v>363</v>
      </c>
      <c r="H797" s="153">
        <v>950</v>
      </c>
      <c r="I797" s="153">
        <v>0</v>
      </c>
      <c r="J797" s="154">
        <f t="shared" si="29"/>
        <v>950</v>
      </c>
      <c r="M797" s="52">
        <v>10474</v>
      </c>
    </row>
    <row r="798" spans="2:13" ht="15" customHeight="1" x14ac:dyDescent="0.3">
      <c r="B798" s="135">
        <v>9</v>
      </c>
      <c r="E798" s="151">
        <v>1</v>
      </c>
      <c r="F798" s="152" t="s">
        <v>254</v>
      </c>
      <c r="G798" s="152" t="s">
        <v>278</v>
      </c>
      <c r="H798" s="153">
        <v>1500</v>
      </c>
      <c r="I798" s="153">
        <v>0</v>
      </c>
      <c r="J798" s="154">
        <f t="shared" si="29"/>
        <v>1500</v>
      </c>
      <c r="M798" s="52">
        <v>10493</v>
      </c>
    </row>
    <row r="799" spans="2:13" ht="15" customHeight="1" x14ac:dyDescent="0.3">
      <c r="B799" s="135">
        <v>9</v>
      </c>
      <c r="E799" s="151">
        <v>1</v>
      </c>
      <c r="F799" s="152" t="s">
        <v>257</v>
      </c>
      <c r="G799" s="152" t="s">
        <v>351</v>
      </c>
      <c r="H799" s="153">
        <v>1720.9</v>
      </c>
      <c r="I799" s="153">
        <v>0</v>
      </c>
      <c r="J799" s="154">
        <f t="shared" si="29"/>
        <v>1720.9</v>
      </c>
      <c r="M799" s="52">
        <v>10469</v>
      </c>
    </row>
    <row r="800" spans="2:13" ht="15" customHeight="1" x14ac:dyDescent="0.3">
      <c r="B800" s="135">
        <v>9</v>
      </c>
      <c r="E800" s="151">
        <v>1</v>
      </c>
      <c r="F800" s="152" t="s">
        <v>247</v>
      </c>
      <c r="G800" s="152" t="s">
        <v>522</v>
      </c>
      <c r="H800" s="153">
        <v>77.27</v>
      </c>
      <c r="I800" s="153">
        <v>0</v>
      </c>
      <c r="J800" s="154">
        <f t="shared" si="29"/>
        <v>77.27</v>
      </c>
      <c r="M800" s="52">
        <v>10470</v>
      </c>
    </row>
    <row r="801" spans="2:13" ht="15" customHeight="1" x14ac:dyDescent="0.3">
      <c r="B801" s="135">
        <v>9</v>
      </c>
      <c r="E801" s="151">
        <v>1</v>
      </c>
      <c r="F801" s="152" t="s">
        <v>241</v>
      </c>
      <c r="G801" s="152" t="s">
        <v>238</v>
      </c>
      <c r="H801" s="153">
        <v>260.88</v>
      </c>
      <c r="I801" s="153">
        <v>0</v>
      </c>
      <c r="J801" s="154">
        <f t="shared" si="29"/>
        <v>260.88</v>
      </c>
      <c r="M801" s="52">
        <v>10479</v>
      </c>
    </row>
    <row r="802" spans="2:13" ht="15" customHeight="1" x14ac:dyDescent="0.3">
      <c r="B802" s="135">
        <v>9</v>
      </c>
      <c r="E802" s="151">
        <v>1</v>
      </c>
      <c r="F802" s="152" t="s">
        <v>247</v>
      </c>
      <c r="G802" s="152" t="s">
        <v>523</v>
      </c>
      <c r="H802" s="153">
        <v>56.01</v>
      </c>
      <c r="I802" s="153">
        <v>0</v>
      </c>
      <c r="J802" s="154">
        <f t="shared" si="29"/>
        <v>56.01</v>
      </c>
      <c r="M802" s="52">
        <v>10480</v>
      </c>
    </row>
    <row r="803" spans="2:13" ht="15" customHeight="1" x14ac:dyDescent="0.3">
      <c r="B803" s="135">
        <v>9</v>
      </c>
      <c r="E803" s="151">
        <v>1</v>
      </c>
      <c r="F803" s="152" t="s">
        <v>305</v>
      </c>
      <c r="G803" s="152" t="s">
        <v>363</v>
      </c>
      <c r="H803" s="153">
        <v>135</v>
      </c>
      <c r="I803" s="153">
        <v>0</v>
      </c>
      <c r="J803" s="154">
        <f t="shared" si="29"/>
        <v>135</v>
      </c>
      <c r="M803" s="52">
        <v>10476</v>
      </c>
    </row>
    <row r="804" spans="2:13" ht="15" customHeight="1" x14ac:dyDescent="0.3">
      <c r="B804" s="135">
        <v>9</v>
      </c>
      <c r="E804" s="151">
        <v>1</v>
      </c>
      <c r="F804" s="152" t="s">
        <v>305</v>
      </c>
      <c r="G804" s="152" t="s">
        <v>363</v>
      </c>
      <c r="H804" s="153">
        <v>902.5</v>
      </c>
      <c r="I804" s="153">
        <v>0</v>
      </c>
      <c r="J804" s="154">
        <f t="shared" si="29"/>
        <v>902.5</v>
      </c>
      <c r="M804" s="52">
        <v>10477</v>
      </c>
    </row>
    <row r="805" spans="2:13" ht="15" customHeight="1" x14ac:dyDescent="0.3">
      <c r="B805" s="135">
        <v>9</v>
      </c>
      <c r="E805" s="151">
        <v>1</v>
      </c>
      <c r="F805" s="152" t="s">
        <v>257</v>
      </c>
      <c r="G805" s="152" t="s">
        <v>351</v>
      </c>
      <c r="H805" s="153">
        <v>538</v>
      </c>
      <c r="I805" s="153">
        <v>0</v>
      </c>
      <c r="J805" s="154">
        <f t="shared" si="29"/>
        <v>538</v>
      </c>
      <c r="M805" s="52">
        <v>10503</v>
      </c>
    </row>
    <row r="806" spans="2:13" ht="15" customHeight="1" x14ac:dyDescent="0.3">
      <c r="B806" s="135">
        <v>9</v>
      </c>
      <c r="E806" s="151">
        <v>1</v>
      </c>
      <c r="F806" s="152" t="s">
        <v>257</v>
      </c>
      <c r="G806" s="152" t="s">
        <v>351</v>
      </c>
      <c r="H806" s="153">
        <v>1198.6600000000001</v>
      </c>
      <c r="I806" s="153">
        <v>0</v>
      </c>
      <c r="J806" s="154">
        <f t="shared" si="29"/>
        <v>1198.6600000000001</v>
      </c>
      <c r="M806" s="52">
        <v>10509</v>
      </c>
    </row>
    <row r="807" spans="2:13" ht="15" customHeight="1" x14ac:dyDescent="0.3">
      <c r="B807" s="135">
        <v>9</v>
      </c>
      <c r="E807" s="151">
        <v>1</v>
      </c>
      <c r="F807" s="152" t="s">
        <v>354</v>
      </c>
      <c r="G807" s="152" t="s">
        <v>255</v>
      </c>
      <c r="H807" s="153">
        <v>187.27</v>
      </c>
      <c r="I807" s="153">
        <v>0</v>
      </c>
      <c r="J807" s="154">
        <f t="shared" si="29"/>
        <v>187.27</v>
      </c>
      <c r="M807" s="52">
        <v>10510</v>
      </c>
    </row>
    <row r="808" spans="2:13" ht="15" customHeight="1" x14ac:dyDescent="0.3">
      <c r="B808" s="135">
        <v>9</v>
      </c>
      <c r="E808" s="151">
        <v>2</v>
      </c>
      <c r="F808" s="152" t="s">
        <v>184</v>
      </c>
      <c r="G808" s="152" t="s">
        <v>445</v>
      </c>
      <c r="H808" s="153">
        <v>375</v>
      </c>
      <c r="I808" s="153">
        <v>0</v>
      </c>
      <c r="J808" s="154">
        <f t="shared" si="29"/>
        <v>375</v>
      </c>
      <c r="M808" s="52">
        <v>10483</v>
      </c>
    </row>
    <row r="809" spans="2:13" ht="15" customHeight="1" x14ac:dyDescent="0.3">
      <c r="B809" s="135">
        <v>9</v>
      </c>
      <c r="E809" s="151">
        <v>2</v>
      </c>
      <c r="F809" s="152" t="s">
        <v>430</v>
      </c>
      <c r="G809" s="152" t="s">
        <v>431</v>
      </c>
      <c r="H809" s="153">
        <v>978.85</v>
      </c>
      <c r="I809" s="153">
        <v>0</v>
      </c>
      <c r="J809" s="154">
        <f t="shared" si="29"/>
        <v>978.85</v>
      </c>
      <c r="M809" s="52">
        <v>10507</v>
      </c>
    </row>
    <row r="810" spans="2:13" ht="15" customHeight="1" x14ac:dyDescent="0.3">
      <c r="B810" s="135">
        <v>9</v>
      </c>
      <c r="E810" s="151">
        <v>6</v>
      </c>
      <c r="F810" s="152" t="s">
        <v>264</v>
      </c>
      <c r="G810" s="152" t="s">
        <v>524</v>
      </c>
      <c r="H810" s="153">
        <v>5499.57</v>
      </c>
      <c r="I810" s="153">
        <v>0</v>
      </c>
      <c r="J810" s="154">
        <f t="shared" si="29"/>
        <v>5499.57</v>
      </c>
      <c r="M810" s="52">
        <v>10457</v>
      </c>
    </row>
    <row r="811" spans="2:13" ht="15" customHeight="1" x14ac:dyDescent="0.3">
      <c r="B811" s="135">
        <v>9</v>
      </c>
      <c r="E811" s="151">
        <v>6</v>
      </c>
      <c r="F811" s="152" t="s">
        <v>264</v>
      </c>
      <c r="G811" s="152" t="s">
        <v>377</v>
      </c>
      <c r="H811" s="153">
        <v>71.88</v>
      </c>
      <c r="I811" s="153">
        <v>0</v>
      </c>
      <c r="J811" s="154">
        <f t="shared" si="29"/>
        <v>71.88</v>
      </c>
      <c r="M811" s="52">
        <v>10471</v>
      </c>
    </row>
    <row r="812" spans="2:13" ht="15" customHeight="1" x14ac:dyDescent="0.3">
      <c r="B812" s="135">
        <v>9</v>
      </c>
      <c r="E812" s="151">
        <v>6</v>
      </c>
      <c r="F812" s="152" t="s">
        <v>264</v>
      </c>
      <c r="G812" s="152" t="s">
        <v>376</v>
      </c>
      <c r="H812" s="153">
        <v>168.13</v>
      </c>
      <c r="I812" s="153">
        <v>0</v>
      </c>
      <c r="J812" s="154">
        <f t="shared" si="29"/>
        <v>168.13</v>
      </c>
      <c r="M812" s="52">
        <v>10472</v>
      </c>
    </row>
    <row r="813" spans="2:13" ht="15" customHeight="1" x14ac:dyDescent="0.3">
      <c r="B813" s="135">
        <v>9</v>
      </c>
      <c r="E813" s="151">
        <v>6</v>
      </c>
      <c r="F813" s="152" t="s">
        <v>264</v>
      </c>
      <c r="G813" s="152" t="s">
        <v>525</v>
      </c>
      <c r="H813" s="153">
        <v>86.45</v>
      </c>
      <c r="I813" s="153">
        <v>0</v>
      </c>
      <c r="J813" s="154">
        <f t="shared" si="29"/>
        <v>86.45</v>
      </c>
      <c r="M813" s="52">
        <v>10478</v>
      </c>
    </row>
    <row r="814" spans="2:13" ht="15" customHeight="1" x14ac:dyDescent="0.3">
      <c r="B814" s="135">
        <v>9</v>
      </c>
      <c r="E814" s="151">
        <v>6</v>
      </c>
      <c r="F814" s="152" t="s">
        <v>264</v>
      </c>
      <c r="G814" s="152" t="s">
        <v>524</v>
      </c>
      <c r="H814" s="153">
        <v>1445.87</v>
      </c>
      <c r="I814" s="153">
        <v>0</v>
      </c>
      <c r="J814" s="154">
        <f t="shared" si="29"/>
        <v>1445.87</v>
      </c>
      <c r="M814" s="52">
        <v>10496</v>
      </c>
    </row>
    <row r="815" spans="2:13" ht="15" customHeight="1" x14ac:dyDescent="0.3">
      <c r="B815" s="135">
        <v>9</v>
      </c>
      <c r="E815" s="151">
        <v>6</v>
      </c>
      <c r="F815" s="152" t="s">
        <v>264</v>
      </c>
      <c r="G815" s="152" t="s">
        <v>461</v>
      </c>
      <c r="H815" s="153">
        <v>749.41</v>
      </c>
      <c r="I815" s="153">
        <v>0</v>
      </c>
      <c r="J815" s="154">
        <f t="shared" si="29"/>
        <v>749.41</v>
      </c>
      <c r="M815" s="52">
        <v>10497</v>
      </c>
    </row>
    <row r="816" spans="2:13" ht="15" customHeight="1" x14ac:dyDescent="0.3">
      <c r="B816" s="135">
        <v>9</v>
      </c>
      <c r="E816" s="151">
        <v>6</v>
      </c>
      <c r="F816" s="152" t="s">
        <v>264</v>
      </c>
      <c r="G816" s="152" t="s">
        <v>461</v>
      </c>
      <c r="H816" s="153">
        <v>440.36</v>
      </c>
      <c r="I816" s="153">
        <v>0</v>
      </c>
      <c r="J816" s="154">
        <f t="shared" si="29"/>
        <v>440.36</v>
      </c>
      <c r="M816" s="52">
        <v>10495</v>
      </c>
    </row>
    <row r="817" spans="2:13" ht="15" customHeight="1" x14ac:dyDescent="0.3">
      <c r="B817" s="135">
        <v>9</v>
      </c>
      <c r="E817" s="151">
        <v>6</v>
      </c>
      <c r="F817" s="152" t="s">
        <v>264</v>
      </c>
      <c r="G817" s="152" t="s">
        <v>384</v>
      </c>
      <c r="H817" s="153">
        <v>1476.7</v>
      </c>
      <c r="I817" s="153">
        <v>0</v>
      </c>
      <c r="J817" s="154">
        <f t="shared" si="29"/>
        <v>1476.7</v>
      </c>
      <c r="M817" s="52">
        <v>10502</v>
      </c>
    </row>
    <row r="818" spans="2:13" ht="15" customHeight="1" x14ac:dyDescent="0.3">
      <c r="B818" s="135">
        <v>9</v>
      </c>
      <c r="E818" s="151">
        <v>6</v>
      </c>
      <c r="F818" s="152" t="s">
        <v>253</v>
      </c>
      <c r="G818" s="152" t="s">
        <v>526</v>
      </c>
      <c r="H818" s="153">
        <v>17275</v>
      </c>
      <c r="I818" s="153">
        <v>1725.5</v>
      </c>
      <c r="J818" s="154">
        <f t="shared" si="29"/>
        <v>15549.5</v>
      </c>
      <c r="M818" s="52">
        <v>10511</v>
      </c>
    </row>
    <row r="819" spans="2:13" ht="15" customHeight="1" x14ac:dyDescent="0.3">
      <c r="B819" s="135">
        <v>9</v>
      </c>
      <c r="E819" s="151">
        <v>6</v>
      </c>
      <c r="F819" s="152" t="s">
        <v>264</v>
      </c>
      <c r="G819" s="152" t="s">
        <v>527</v>
      </c>
      <c r="H819" s="153">
        <v>5129.91</v>
      </c>
      <c r="I819" s="153">
        <v>0</v>
      </c>
      <c r="J819" s="154">
        <f t="shared" si="29"/>
        <v>5129.91</v>
      </c>
      <c r="M819" s="52">
        <v>10512</v>
      </c>
    </row>
    <row r="820" spans="2:13" ht="15" customHeight="1" x14ac:dyDescent="0.3">
      <c r="B820" s="135">
        <v>9</v>
      </c>
      <c r="E820" s="151">
        <v>6</v>
      </c>
      <c r="F820" s="152" t="s">
        <v>264</v>
      </c>
      <c r="G820" s="152" t="s">
        <v>377</v>
      </c>
      <c r="H820" s="153">
        <v>522.85</v>
      </c>
      <c r="I820" s="153">
        <v>0</v>
      </c>
      <c r="J820" s="154">
        <f t="shared" si="29"/>
        <v>522.85</v>
      </c>
      <c r="M820" s="52">
        <v>10518</v>
      </c>
    </row>
    <row r="821" spans="2:13" ht="15" customHeight="1" x14ac:dyDescent="0.3">
      <c r="B821" s="135">
        <v>9</v>
      </c>
      <c r="E821" s="151">
        <v>6</v>
      </c>
      <c r="F821" s="152" t="s">
        <v>264</v>
      </c>
      <c r="G821" s="152" t="s">
        <v>524</v>
      </c>
      <c r="H821" s="153">
        <v>1801.97</v>
      </c>
      <c r="I821" s="153">
        <v>0</v>
      </c>
      <c r="J821" s="154">
        <f t="shared" si="29"/>
        <v>1801.97</v>
      </c>
      <c r="M821" s="52">
        <v>10519</v>
      </c>
    </row>
    <row r="822" spans="2:13" ht="15" customHeight="1" x14ac:dyDescent="0.3">
      <c r="B822" s="135">
        <v>9</v>
      </c>
      <c r="E822" s="151">
        <v>6</v>
      </c>
      <c r="F822" s="152" t="s">
        <v>503</v>
      </c>
      <c r="G822" s="152" t="s">
        <v>528</v>
      </c>
      <c r="H822" s="153">
        <v>5405.4</v>
      </c>
      <c r="I822" s="153">
        <v>0</v>
      </c>
      <c r="J822" s="154">
        <f t="shared" si="29"/>
        <v>5405.4</v>
      </c>
      <c r="M822" s="52">
        <v>10450</v>
      </c>
    </row>
    <row r="823" spans="2:13" ht="15" customHeight="1" x14ac:dyDescent="0.3">
      <c r="B823" s="135">
        <v>9</v>
      </c>
      <c r="E823" s="151">
        <v>16</v>
      </c>
      <c r="F823" s="152" t="s">
        <v>275</v>
      </c>
      <c r="G823" s="152" t="s">
        <v>331</v>
      </c>
      <c r="H823" s="153">
        <v>23592.05</v>
      </c>
      <c r="I823" s="153">
        <v>0</v>
      </c>
      <c r="J823" s="154">
        <f t="shared" si="29"/>
        <v>23592.05</v>
      </c>
      <c r="M823" s="52">
        <v>10481</v>
      </c>
    </row>
    <row r="824" spans="2:13" ht="15" customHeight="1" x14ac:dyDescent="0.3">
      <c r="B824" s="135">
        <v>9</v>
      </c>
      <c r="E824" s="151">
        <v>16</v>
      </c>
      <c r="F824" s="152" t="s">
        <v>275</v>
      </c>
      <c r="G824" s="152" t="s">
        <v>331</v>
      </c>
      <c r="H824" s="153">
        <v>15728.03</v>
      </c>
      <c r="I824" s="153">
        <v>0</v>
      </c>
      <c r="J824" s="154">
        <f t="shared" si="29"/>
        <v>15728.03</v>
      </c>
      <c r="M824" s="52">
        <v>10484</v>
      </c>
    </row>
    <row r="825" spans="2:13" ht="15" customHeight="1" x14ac:dyDescent="0.3">
      <c r="B825" s="135">
        <v>9</v>
      </c>
      <c r="E825" s="151">
        <v>16</v>
      </c>
      <c r="F825" s="152" t="s">
        <v>275</v>
      </c>
      <c r="G825" s="152" t="s">
        <v>331</v>
      </c>
      <c r="H825" s="153">
        <v>5158.9799999999996</v>
      </c>
      <c r="I825" s="153">
        <v>0</v>
      </c>
      <c r="J825" s="154">
        <f t="shared" si="29"/>
        <v>5158.9799999999996</v>
      </c>
      <c r="M825" s="52">
        <v>10485</v>
      </c>
    </row>
    <row r="826" spans="2:13" ht="15" customHeight="1" x14ac:dyDescent="0.3">
      <c r="B826" s="135">
        <v>9</v>
      </c>
      <c r="E826" s="151">
        <v>16</v>
      </c>
      <c r="F826" s="152" t="s">
        <v>275</v>
      </c>
      <c r="G826" s="152" t="s">
        <v>331</v>
      </c>
      <c r="H826" s="153">
        <v>3109.45</v>
      </c>
      <c r="I826" s="153">
        <v>0</v>
      </c>
      <c r="J826" s="154">
        <f t="shared" si="29"/>
        <v>3109.45</v>
      </c>
      <c r="M826" s="52">
        <v>10486</v>
      </c>
    </row>
    <row r="827" spans="2:13" ht="15" customHeight="1" x14ac:dyDescent="0.3">
      <c r="B827" s="135">
        <v>9</v>
      </c>
      <c r="E827" s="151">
        <v>16</v>
      </c>
      <c r="F827" s="152" t="s">
        <v>275</v>
      </c>
      <c r="G827" s="152" t="s">
        <v>331</v>
      </c>
      <c r="H827" s="153">
        <v>105.28</v>
      </c>
      <c r="I827" s="153">
        <v>0</v>
      </c>
      <c r="J827" s="154">
        <f t="shared" si="29"/>
        <v>105.28</v>
      </c>
      <c r="M827" s="52">
        <v>10487</v>
      </c>
    </row>
    <row r="828" spans="2:13" ht="15" customHeight="1" x14ac:dyDescent="0.3">
      <c r="B828" s="135">
        <v>9</v>
      </c>
      <c r="E828" s="151">
        <v>16</v>
      </c>
      <c r="F828" s="152" t="s">
        <v>275</v>
      </c>
      <c r="G828" s="152" t="s">
        <v>331</v>
      </c>
      <c r="H828" s="153">
        <v>66.28</v>
      </c>
      <c r="I828" s="153">
        <v>0</v>
      </c>
      <c r="J828" s="154">
        <f t="shared" si="29"/>
        <v>66.28</v>
      </c>
      <c r="M828" s="52">
        <v>10491</v>
      </c>
    </row>
    <row r="829" spans="2:13" ht="15" customHeight="1" x14ac:dyDescent="0.3">
      <c r="B829" s="135">
        <v>9</v>
      </c>
      <c r="E829" s="151">
        <v>16</v>
      </c>
      <c r="F829" s="152" t="s">
        <v>275</v>
      </c>
      <c r="G829" s="152" t="s">
        <v>331</v>
      </c>
      <c r="H829" s="153">
        <v>381.95</v>
      </c>
      <c r="I829" s="153">
        <v>0</v>
      </c>
      <c r="J829" s="154">
        <f t="shared" si="29"/>
        <v>381.95</v>
      </c>
      <c r="M829" s="52">
        <v>10492</v>
      </c>
    </row>
    <row r="830" spans="2:13" ht="15" customHeight="1" x14ac:dyDescent="0.3">
      <c r="B830" s="135">
        <v>9</v>
      </c>
      <c r="E830" s="151">
        <v>16</v>
      </c>
      <c r="F830" s="152" t="s">
        <v>275</v>
      </c>
      <c r="G830" s="152" t="s">
        <v>331</v>
      </c>
      <c r="H830" s="153">
        <v>931.92</v>
      </c>
      <c r="I830" s="153">
        <v>0</v>
      </c>
      <c r="J830" s="154">
        <f t="shared" si="29"/>
        <v>931.92</v>
      </c>
      <c r="M830" s="52">
        <v>10468</v>
      </c>
    </row>
    <row r="831" spans="2:13" ht="15" customHeight="1" x14ac:dyDescent="0.3">
      <c r="B831" s="135">
        <v>9</v>
      </c>
      <c r="E831" s="151">
        <v>16</v>
      </c>
      <c r="F831" s="152" t="s">
        <v>275</v>
      </c>
      <c r="G831" s="152" t="s">
        <v>331</v>
      </c>
      <c r="H831" s="153">
        <v>17403.240000000002</v>
      </c>
      <c r="I831" s="153">
        <v>0</v>
      </c>
      <c r="J831" s="154">
        <f t="shared" si="29"/>
        <v>17403.240000000002</v>
      </c>
      <c r="M831" s="52">
        <v>10498</v>
      </c>
    </row>
    <row r="832" spans="2:13" ht="15" customHeight="1" x14ac:dyDescent="0.3">
      <c r="B832" s="135">
        <v>9</v>
      </c>
      <c r="E832" s="151">
        <v>16</v>
      </c>
      <c r="F832" s="152" t="s">
        <v>275</v>
      </c>
      <c r="G832" s="152" t="s">
        <v>331</v>
      </c>
      <c r="H832" s="153">
        <v>47953.64</v>
      </c>
      <c r="I832" s="153">
        <v>0</v>
      </c>
      <c r="J832" s="154">
        <f t="shared" si="29"/>
        <v>47953.64</v>
      </c>
      <c r="M832" s="52">
        <v>10499</v>
      </c>
    </row>
    <row r="833" spans="2:13" ht="15" customHeight="1" x14ac:dyDescent="0.3">
      <c r="B833" s="135">
        <v>9</v>
      </c>
      <c r="E833" s="151">
        <v>16</v>
      </c>
      <c r="F833" s="152" t="s">
        <v>275</v>
      </c>
      <c r="G833" s="152" t="s">
        <v>331</v>
      </c>
      <c r="H833" s="153">
        <v>1106.5899999999999</v>
      </c>
      <c r="I833" s="153">
        <v>0</v>
      </c>
      <c r="J833" s="154">
        <f t="shared" si="29"/>
        <v>1106.5899999999999</v>
      </c>
      <c r="M833" s="52">
        <v>10500</v>
      </c>
    </row>
    <row r="834" spans="2:13" ht="15" customHeight="1" x14ac:dyDescent="0.3">
      <c r="B834" s="135">
        <v>9</v>
      </c>
      <c r="E834" s="151">
        <v>16</v>
      </c>
      <c r="F834" s="152" t="s">
        <v>275</v>
      </c>
      <c r="G834" s="152" t="s">
        <v>331</v>
      </c>
      <c r="H834" s="153">
        <v>301.83999999999997</v>
      </c>
      <c r="I834" s="153">
        <v>0</v>
      </c>
      <c r="J834" s="154">
        <f t="shared" si="29"/>
        <v>301.83999999999997</v>
      </c>
      <c r="M834" s="52">
        <v>10501</v>
      </c>
    </row>
    <row r="835" spans="2:13" ht="15" customHeight="1" x14ac:dyDescent="0.3">
      <c r="B835" s="135">
        <v>9</v>
      </c>
      <c r="E835" s="151">
        <v>16</v>
      </c>
      <c r="F835" s="152" t="s">
        <v>275</v>
      </c>
      <c r="G835" s="152" t="s">
        <v>331</v>
      </c>
      <c r="H835" s="153">
        <v>1050.72</v>
      </c>
      <c r="I835" s="153">
        <v>0</v>
      </c>
      <c r="J835" s="154">
        <f t="shared" si="29"/>
        <v>1050.72</v>
      </c>
      <c r="M835" s="52">
        <v>10508</v>
      </c>
    </row>
    <row r="836" spans="2:13" ht="15" customHeight="1" x14ac:dyDescent="0.3">
      <c r="B836" s="135">
        <v>9</v>
      </c>
      <c r="E836" s="151">
        <v>16</v>
      </c>
      <c r="F836" s="152" t="s">
        <v>275</v>
      </c>
      <c r="G836" s="152" t="s">
        <v>331</v>
      </c>
      <c r="H836" s="153">
        <v>66.28</v>
      </c>
      <c r="I836" s="153">
        <v>0</v>
      </c>
      <c r="J836" s="154">
        <f t="shared" si="29"/>
        <v>66.28</v>
      </c>
      <c r="M836" s="52">
        <v>10525</v>
      </c>
    </row>
    <row r="837" spans="2:13" ht="15" customHeight="1" x14ac:dyDescent="0.3">
      <c r="B837" s="135">
        <v>9</v>
      </c>
      <c r="E837" s="151">
        <v>16</v>
      </c>
      <c r="F837" s="152" t="s">
        <v>275</v>
      </c>
      <c r="G837" s="152" t="s">
        <v>331</v>
      </c>
      <c r="H837" s="153">
        <v>24708.06</v>
      </c>
      <c r="I837" s="153">
        <v>0</v>
      </c>
      <c r="J837" s="154">
        <f t="shared" ref="J837:J844" si="30">+H837-I837</f>
        <v>24708.06</v>
      </c>
      <c r="M837" s="52">
        <v>10521</v>
      </c>
    </row>
    <row r="838" spans="2:13" ht="15" customHeight="1" x14ac:dyDescent="0.3">
      <c r="B838" s="135">
        <v>9</v>
      </c>
      <c r="E838" s="151">
        <v>1</v>
      </c>
      <c r="F838" s="152" t="s">
        <v>261</v>
      </c>
      <c r="G838" s="152" t="s">
        <v>529</v>
      </c>
      <c r="H838" s="153">
        <v>10000</v>
      </c>
      <c r="I838" s="153">
        <v>0</v>
      </c>
      <c r="J838" s="154">
        <f t="shared" si="30"/>
        <v>10000</v>
      </c>
    </row>
    <row r="839" spans="2:13" ht="15" customHeight="1" x14ac:dyDescent="0.3">
      <c r="B839" s="135">
        <v>9</v>
      </c>
      <c r="E839" s="151">
        <v>1</v>
      </c>
      <c r="F839" s="152" t="s">
        <v>169</v>
      </c>
      <c r="G839" s="152" t="s">
        <v>530</v>
      </c>
      <c r="H839" s="153">
        <v>3888.8888888888887</v>
      </c>
      <c r="I839" s="153">
        <v>0</v>
      </c>
      <c r="J839" s="154">
        <f t="shared" si="30"/>
        <v>3888.8888888888887</v>
      </c>
    </row>
    <row r="840" spans="2:13" ht="15" customHeight="1" x14ac:dyDescent="0.3">
      <c r="B840" s="135">
        <v>9</v>
      </c>
      <c r="E840" s="151">
        <v>1</v>
      </c>
      <c r="F840" s="152" t="s">
        <v>172</v>
      </c>
      <c r="G840" s="152" t="s">
        <v>530</v>
      </c>
      <c r="H840" s="153">
        <v>3611.1111111111113</v>
      </c>
      <c r="I840" s="153">
        <v>0</v>
      </c>
      <c r="J840" s="154">
        <f t="shared" si="30"/>
        <v>3611.1111111111113</v>
      </c>
    </row>
    <row r="841" spans="2:13" ht="15" customHeight="1" x14ac:dyDescent="0.3">
      <c r="B841" s="135">
        <v>9</v>
      </c>
      <c r="E841" s="151">
        <v>2</v>
      </c>
      <c r="F841" s="152" t="s">
        <v>482</v>
      </c>
      <c r="G841" s="152" t="s">
        <v>268</v>
      </c>
      <c r="H841" s="153">
        <v>8910.7900000000009</v>
      </c>
      <c r="I841" s="153">
        <v>0</v>
      </c>
      <c r="J841" s="154">
        <f t="shared" si="30"/>
        <v>8910.7900000000009</v>
      </c>
      <c r="M841" s="52" t="s">
        <v>534</v>
      </c>
    </row>
    <row r="842" spans="2:13" ht="15" customHeight="1" x14ac:dyDescent="0.3">
      <c r="B842" s="135">
        <v>9</v>
      </c>
      <c r="E842" s="151">
        <v>7</v>
      </c>
      <c r="F842" s="152" t="s">
        <v>480</v>
      </c>
      <c r="G842" s="152" t="s">
        <v>531</v>
      </c>
      <c r="H842" s="153">
        <v>12384</v>
      </c>
      <c r="I842" s="153">
        <v>1238.4000000000001</v>
      </c>
      <c r="J842" s="154">
        <f t="shared" si="30"/>
        <v>11145.6</v>
      </c>
      <c r="M842" s="52">
        <v>10523</v>
      </c>
    </row>
    <row r="843" spans="2:13" ht="15" customHeight="1" x14ac:dyDescent="0.3">
      <c r="B843" s="135">
        <v>9</v>
      </c>
      <c r="E843" s="151">
        <v>7</v>
      </c>
      <c r="F843" s="152" t="s">
        <v>510</v>
      </c>
      <c r="G843" s="152" t="s">
        <v>532</v>
      </c>
      <c r="H843" s="153">
        <v>104000</v>
      </c>
      <c r="I843" s="153">
        <v>9307.5299999999988</v>
      </c>
      <c r="J843" s="154">
        <f t="shared" si="30"/>
        <v>94692.47</v>
      </c>
      <c r="M843" s="52" t="s">
        <v>534</v>
      </c>
    </row>
    <row r="844" spans="2:13" ht="15" customHeight="1" x14ac:dyDescent="0.3">
      <c r="B844" s="135">
        <v>9</v>
      </c>
      <c r="E844" s="151">
        <v>8</v>
      </c>
      <c r="F844" s="152" t="s">
        <v>412</v>
      </c>
      <c r="G844" s="152" t="s">
        <v>399</v>
      </c>
      <c r="H844" s="153">
        <v>98376.6</v>
      </c>
      <c r="I844" s="153">
        <v>0</v>
      </c>
      <c r="J844" s="154">
        <f t="shared" si="30"/>
        <v>98376.6</v>
      </c>
      <c r="M844" s="52" t="s">
        <v>534</v>
      </c>
    </row>
    <row r="845" spans="2:13" ht="15" customHeight="1" x14ac:dyDescent="0.3">
      <c r="B845" s="135">
        <v>9</v>
      </c>
      <c r="E845" s="151">
        <v>15</v>
      </c>
      <c r="F845" s="152" t="s">
        <v>536</v>
      </c>
      <c r="G845" s="152" t="s">
        <v>408</v>
      </c>
      <c r="H845" s="153">
        <v>71598.73</v>
      </c>
      <c r="I845" s="153">
        <v>0</v>
      </c>
      <c r="J845" s="154">
        <f>+H845-I845</f>
        <v>71598.73</v>
      </c>
      <c r="M845" s="52" t="s">
        <v>534</v>
      </c>
    </row>
    <row r="846" spans="2:13" ht="15" customHeight="1" x14ac:dyDescent="0.3">
      <c r="B846" s="135">
        <v>9</v>
      </c>
      <c r="E846" s="151">
        <v>16</v>
      </c>
      <c r="F846" s="152" t="s">
        <v>520</v>
      </c>
      <c r="G846" s="152" t="s">
        <v>533</v>
      </c>
      <c r="H846" s="153">
        <v>27500</v>
      </c>
      <c r="I846" s="153">
        <v>2750</v>
      </c>
      <c r="J846" s="154">
        <f t="shared" ref="J846:J849" si="31">+H846-I846</f>
        <v>24750</v>
      </c>
      <c r="M846" s="52">
        <v>10522</v>
      </c>
    </row>
    <row r="847" spans="2:13" ht="15" customHeight="1" x14ac:dyDescent="0.3">
      <c r="B847" s="135">
        <v>9</v>
      </c>
      <c r="E847" s="151">
        <v>16</v>
      </c>
      <c r="F847" s="152" t="s">
        <v>275</v>
      </c>
      <c r="G847" s="152" t="s">
        <v>331</v>
      </c>
      <c r="H847" s="153">
        <v>706.33</v>
      </c>
      <c r="I847" s="153">
        <v>0</v>
      </c>
      <c r="J847" s="154">
        <f t="shared" si="31"/>
        <v>706.33</v>
      </c>
      <c r="M847" s="52">
        <v>10526</v>
      </c>
    </row>
    <row r="848" spans="2:13" ht="15" customHeight="1" x14ac:dyDescent="0.3">
      <c r="B848" s="135">
        <v>9</v>
      </c>
      <c r="E848" s="151">
        <v>16</v>
      </c>
      <c r="F848" s="152" t="s">
        <v>275</v>
      </c>
      <c r="G848" s="152" t="s">
        <v>331</v>
      </c>
      <c r="H848" s="153">
        <v>24058.560000000001</v>
      </c>
      <c r="I848" s="153">
        <v>0</v>
      </c>
      <c r="J848" s="154">
        <f t="shared" si="31"/>
        <v>24058.560000000001</v>
      </c>
      <c r="M848" s="52">
        <v>10527</v>
      </c>
    </row>
    <row r="849" spans="2:13" ht="15" customHeight="1" x14ac:dyDescent="0.3">
      <c r="B849" s="135">
        <v>9</v>
      </c>
      <c r="E849" s="151">
        <v>18</v>
      </c>
      <c r="F849" s="152" t="s">
        <v>6</v>
      </c>
      <c r="G849" s="152" t="s">
        <v>530</v>
      </c>
      <c r="H849" s="153">
        <v>16666.666666666668</v>
      </c>
      <c r="I849" s="153">
        <v>1666.666666666667</v>
      </c>
      <c r="J849" s="154">
        <f t="shared" si="31"/>
        <v>15000</v>
      </c>
      <c r="M849" s="52" t="s">
        <v>535</v>
      </c>
    </row>
    <row r="850" spans="2:13" ht="15" customHeight="1" x14ac:dyDescent="0.3">
      <c r="B850" s="135">
        <v>10</v>
      </c>
      <c r="E850" s="151">
        <v>1</v>
      </c>
      <c r="F850" s="152" t="s">
        <v>285</v>
      </c>
      <c r="G850" s="152"/>
      <c r="H850" s="153">
        <v>13.61</v>
      </c>
      <c r="I850" s="153">
        <v>0</v>
      </c>
      <c r="J850" s="154">
        <f t="shared" ref="J850:J919" si="32">+H850-I850</f>
        <v>13.61</v>
      </c>
      <c r="M850" s="52" t="s">
        <v>575</v>
      </c>
    </row>
    <row r="851" spans="2:13" ht="15" customHeight="1" x14ac:dyDescent="0.3">
      <c r="B851" s="135">
        <v>10</v>
      </c>
      <c r="E851" s="151">
        <v>1</v>
      </c>
      <c r="F851" s="152" t="s">
        <v>354</v>
      </c>
      <c r="G851" s="152" t="s">
        <v>255</v>
      </c>
      <c r="H851" s="153">
        <v>187.27</v>
      </c>
      <c r="I851" s="153">
        <v>0</v>
      </c>
      <c r="J851" s="154">
        <f t="shared" si="32"/>
        <v>187.27</v>
      </c>
      <c r="M851" s="52">
        <v>10583</v>
      </c>
    </row>
    <row r="852" spans="2:13" ht="15" customHeight="1" x14ac:dyDescent="0.3">
      <c r="B852" s="135">
        <v>10</v>
      </c>
      <c r="E852" s="151">
        <v>1</v>
      </c>
      <c r="F852" s="152" t="s">
        <v>354</v>
      </c>
      <c r="G852" s="152" t="s">
        <v>255</v>
      </c>
      <c r="H852" s="153">
        <v>187.27</v>
      </c>
      <c r="I852" s="153">
        <v>0</v>
      </c>
      <c r="J852" s="154">
        <f t="shared" si="32"/>
        <v>187.27</v>
      </c>
      <c r="M852" s="52">
        <v>10584</v>
      </c>
    </row>
    <row r="853" spans="2:13" ht="15" customHeight="1" x14ac:dyDescent="0.3">
      <c r="B853" s="135">
        <v>10</v>
      </c>
      <c r="E853" s="151">
        <v>1</v>
      </c>
      <c r="F853" s="152" t="s">
        <v>247</v>
      </c>
      <c r="G853" s="152" t="s">
        <v>537</v>
      </c>
      <c r="H853" s="153">
        <v>131.6</v>
      </c>
      <c r="I853" s="153">
        <v>0</v>
      </c>
      <c r="J853" s="154">
        <f t="shared" si="32"/>
        <v>131.6</v>
      </c>
      <c r="M853" s="52">
        <v>10585</v>
      </c>
    </row>
    <row r="854" spans="2:13" ht="15" customHeight="1" x14ac:dyDescent="0.3">
      <c r="B854" s="135">
        <v>10</v>
      </c>
      <c r="E854" s="151">
        <v>1</v>
      </c>
      <c r="F854" s="152" t="s">
        <v>352</v>
      </c>
      <c r="G854" s="152" t="s">
        <v>255</v>
      </c>
      <c r="H854" s="153">
        <v>817.83</v>
      </c>
      <c r="I854" s="153">
        <v>0</v>
      </c>
      <c r="J854" s="154">
        <f t="shared" si="32"/>
        <v>817.83</v>
      </c>
      <c r="M854" s="52">
        <v>10560</v>
      </c>
    </row>
    <row r="855" spans="2:13" ht="15" customHeight="1" x14ac:dyDescent="0.3">
      <c r="B855" s="135">
        <v>10</v>
      </c>
      <c r="E855" s="151">
        <v>1</v>
      </c>
      <c r="F855" s="152" t="s">
        <v>354</v>
      </c>
      <c r="G855" s="152" t="s">
        <v>255</v>
      </c>
      <c r="H855" s="153">
        <v>187.27</v>
      </c>
      <c r="I855" s="153">
        <v>0</v>
      </c>
      <c r="J855" s="154">
        <f t="shared" si="32"/>
        <v>187.27</v>
      </c>
      <c r="M855" s="52">
        <v>10565</v>
      </c>
    </row>
    <row r="856" spans="2:13" ht="15" customHeight="1" x14ac:dyDescent="0.3">
      <c r="B856" s="135">
        <v>10</v>
      </c>
      <c r="E856" s="151">
        <v>1</v>
      </c>
      <c r="F856" s="152" t="s">
        <v>354</v>
      </c>
      <c r="G856" s="152" t="s">
        <v>255</v>
      </c>
      <c r="H856" s="153">
        <v>190.52</v>
      </c>
      <c r="I856" s="153">
        <v>0</v>
      </c>
      <c r="J856" s="154">
        <f t="shared" si="32"/>
        <v>190.52</v>
      </c>
      <c r="M856" s="52">
        <v>10563</v>
      </c>
    </row>
    <row r="857" spans="2:13" ht="15" customHeight="1" x14ac:dyDescent="0.3">
      <c r="B857" s="135">
        <v>10</v>
      </c>
      <c r="E857" s="151">
        <v>1</v>
      </c>
      <c r="F857" s="152" t="s">
        <v>354</v>
      </c>
      <c r="G857" s="152" t="s">
        <v>255</v>
      </c>
      <c r="H857" s="153">
        <v>190.52</v>
      </c>
      <c r="I857" s="153">
        <v>0</v>
      </c>
      <c r="J857" s="154">
        <f t="shared" si="32"/>
        <v>190.52</v>
      </c>
      <c r="M857" s="52">
        <v>10564</v>
      </c>
    </row>
    <row r="858" spans="2:13" ht="15" customHeight="1" x14ac:dyDescent="0.3">
      <c r="B858" s="135">
        <v>10</v>
      </c>
      <c r="E858" s="151">
        <v>1</v>
      </c>
      <c r="F858" s="152" t="s">
        <v>354</v>
      </c>
      <c r="G858" s="152" t="s">
        <v>255</v>
      </c>
      <c r="H858" s="153">
        <v>187.27</v>
      </c>
      <c r="I858" s="153">
        <v>0</v>
      </c>
      <c r="J858" s="154">
        <f t="shared" si="32"/>
        <v>187.27</v>
      </c>
      <c r="M858" s="52">
        <v>10566</v>
      </c>
    </row>
    <row r="859" spans="2:13" ht="15" customHeight="1" x14ac:dyDescent="0.3">
      <c r="B859" s="135">
        <v>10</v>
      </c>
      <c r="E859" s="151">
        <v>1</v>
      </c>
      <c r="F859" s="152" t="s">
        <v>354</v>
      </c>
      <c r="G859" s="152" t="s">
        <v>255</v>
      </c>
      <c r="H859" s="153">
        <v>150.74</v>
      </c>
      <c r="I859" s="153">
        <v>0</v>
      </c>
      <c r="J859" s="154">
        <f t="shared" si="32"/>
        <v>150.74</v>
      </c>
      <c r="M859" s="52">
        <v>10561</v>
      </c>
    </row>
    <row r="860" spans="2:13" ht="15" customHeight="1" x14ac:dyDescent="0.3">
      <c r="B860" s="135">
        <v>10</v>
      </c>
      <c r="E860" s="151">
        <v>1</v>
      </c>
      <c r="F860" s="152" t="s">
        <v>354</v>
      </c>
      <c r="G860" s="152" t="s">
        <v>255</v>
      </c>
      <c r="H860" s="153">
        <v>150.74</v>
      </c>
      <c r="I860" s="153">
        <v>0</v>
      </c>
      <c r="J860" s="154">
        <f t="shared" si="32"/>
        <v>150.74</v>
      </c>
      <c r="M860" s="52">
        <v>10562</v>
      </c>
    </row>
    <row r="861" spans="2:13" ht="15" customHeight="1" x14ac:dyDescent="0.3">
      <c r="B861" s="135">
        <v>10</v>
      </c>
      <c r="E861" s="151">
        <v>1</v>
      </c>
      <c r="F861" s="152" t="s">
        <v>241</v>
      </c>
      <c r="G861" s="152" t="s">
        <v>538</v>
      </c>
      <c r="H861" s="153">
        <v>684.14</v>
      </c>
      <c r="I861" s="153">
        <v>0</v>
      </c>
      <c r="J861" s="154">
        <f t="shared" si="32"/>
        <v>684.14</v>
      </c>
      <c r="M861" s="52">
        <v>10568</v>
      </c>
    </row>
    <row r="862" spans="2:13" ht="15" customHeight="1" x14ac:dyDescent="0.3">
      <c r="B862" s="135">
        <v>10</v>
      </c>
      <c r="E862" s="151">
        <v>1</v>
      </c>
      <c r="F862" s="152" t="s">
        <v>257</v>
      </c>
      <c r="G862" s="152" t="s">
        <v>351</v>
      </c>
      <c r="H862" s="153">
        <v>1521.58</v>
      </c>
      <c r="I862" s="153">
        <v>0</v>
      </c>
      <c r="J862" s="154">
        <f t="shared" si="32"/>
        <v>1521.58</v>
      </c>
      <c r="M862" s="52">
        <v>10545</v>
      </c>
    </row>
    <row r="863" spans="2:13" ht="15" customHeight="1" x14ac:dyDescent="0.3">
      <c r="B863" s="135">
        <v>10</v>
      </c>
      <c r="E863" s="151">
        <v>1</v>
      </c>
      <c r="F863" s="152" t="s">
        <v>247</v>
      </c>
      <c r="G863" s="152" t="s">
        <v>539</v>
      </c>
      <c r="H863" s="153">
        <v>62.09</v>
      </c>
      <c r="I863" s="153">
        <v>0</v>
      </c>
      <c r="J863" s="154">
        <f t="shared" si="32"/>
        <v>62.09</v>
      </c>
      <c r="M863" s="52">
        <v>10604</v>
      </c>
    </row>
    <row r="864" spans="2:13" ht="15" customHeight="1" x14ac:dyDescent="0.3">
      <c r="B864" s="135">
        <v>10</v>
      </c>
      <c r="E864" s="151">
        <v>1</v>
      </c>
      <c r="F864" s="152" t="s">
        <v>354</v>
      </c>
      <c r="G864" s="152" t="s">
        <v>255</v>
      </c>
      <c r="H864" s="153">
        <v>187.27</v>
      </c>
      <c r="I864" s="153">
        <v>0</v>
      </c>
      <c r="J864" s="154">
        <f t="shared" si="32"/>
        <v>187.27</v>
      </c>
      <c r="M864" s="52">
        <v>10605</v>
      </c>
    </row>
    <row r="865" spans="2:13" ht="15" customHeight="1" x14ac:dyDescent="0.3">
      <c r="B865" s="135">
        <v>10</v>
      </c>
      <c r="E865" s="151">
        <v>1</v>
      </c>
      <c r="F865" s="152" t="s">
        <v>248</v>
      </c>
      <c r="G865" s="152" t="s">
        <v>286</v>
      </c>
      <c r="H865" s="153">
        <v>10</v>
      </c>
      <c r="I865" s="153">
        <v>0</v>
      </c>
      <c r="J865" s="154">
        <f t="shared" si="32"/>
        <v>10</v>
      </c>
      <c r="M865" s="52" t="s">
        <v>575</v>
      </c>
    </row>
    <row r="866" spans="2:13" ht="15" customHeight="1" x14ac:dyDescent="0.3">
      <c r="B866" s="135">
        <v>10</v>
      </c>
      <c r="E866" s="151">
        <v>1</v>
      </c>
      <c r="F866" s="152" t="s">
        <v>305</v>
      </c>
      <c r="G866" s="152" t="s">
        <v>363</v>
      </c>
      <c r="H866" s="153">
        <v>926.25</v>
      </c>
      <c r="I866" s="153">
        <v>0</v>
      </c>
      <c r="J866" s="154">
        <f t="shared" si="32"/>
        <v>926.25</v>
      </c>
      <c r="M866" s="52">
        <v>10548</v>
      </c>
    </row>
    <row r="867" spans="2:13" ht="15" customHeight="1" x14ac:dyDescent="0.3">
      <c r="B867" s="135">
        <v>10</v>
      </c>
      <c r="E867" s="151">
        <v>1</v>
      </c>
      <c r="F867" s="152" t="s">
        <v>305</v>
      </c>
      <c r="G867" s="152" t="s">
        <v>363</v>
      </c>
      <c r="H867" s="153">
        <v>210</v>
      </c>
      <c r="I867" s="153">
        <v>0</v>
      </c>
      <c r="J867" s="154">
        <f t="shared" si="32"/>
        <v>210</v>
      </c>
      <c r="M867" s="52">
        <v>10549</v>
      </c>
    </row>
    <row r="868" spans="2:13" ht="15" customHeight="1" x14ac:dyDescent="0.3">
      <c r="B868" s="135">
        <v>10</v>
      </c>
      <c r="E868" s="151">
        <v>1</v>
      </c>
      <c r="F868" s="152" t="s">
        <v>305</v>
      </c>
      <c r="G868" s="152" t="s">
        <v>363</v>
      </c>
      <c r="H868" s="153">
        <v>360</v>
      </c>
      <c r="I868" s="153">
        <v>0</v>
      </c>
      <c r="J868" s="154">
        <f t="shared" si="32"/>
        <v>360</v>
      </c>
      <c r="M868" s="52">
        <v>10550</v>
      </c>
    </row>
    <row r="869" spans="2:13" ht="15" customHeight="1" x14ac:dyDescent="0.3">
      <c r="B869" s="135">
        <v>10</v>
      </c>
      <c r="E869" s="151">
        <v>1</v>
      </c>
      <c r="F869" s="152" t="s">
        <v>305</v>
      </c>
      <c r="G869" s="152" t="s">
        <v>363</v>
      </c>
      <c r="H869" s="153">
        <v>973.75</v>
      </c>
      <c r="I869" s="153">
        <v>0</v>
      </c>
      <c r="J869" s="154">
        <f t="shared" si="32"/>
        <v>973.75</v>
      </c>
      <c r="M869" s="52">
        <v>10551</v>
      </c>
    </row>
    <row r="870" spans="2:13" ht="15" customHeight="1" x14ac:dyDescent="0.3">
      <c r="B870" s="135">
        <v>10</v>
      </c>
      <c r="E870" s="151">
        <v>1</v>
      </c>
      <c r="F870" s="152" t="s">
        <v>305</v>
      </c>
      <c r="G870" s="152" t="s">
        <v>363</v>
      </c>
      <c r="H870" s="153">
        <v>240</v>
      </c>
      <c r="I870" s="153">
        <v>0</v>
      </c>
      <c r="J870" s="154">
        <f t="shared" si="32"/>
        <v>240</v>
      </c>
      <c r="M870" s="52">
        <v>10552</v>
      </c>
    </row>
    <row r="871" spans="2:13" ht="15" customHeight="1" x14ac:dyDescent="0.3">
      <c r="B871" s="135">
        <v>10</v>
      </c>
      <c r="E871" s="151">
        <v>1</v>
      </c>
      <c r="F871" s="152" t="s">
        <v>305</v>
      </c>
      <c r="G871" s="152" t="s">
        <v>363</v>
      </c>
      <c r="H871" s="153">
        <v>760</v>
      </c>
      <c r="I871" s="153">
        <v>0</v>
      </c>
      <c r="J871" s="154">
        <f t="shared" si="32"/>
        <v>760</v>
      </c>
      <c r="M871" s="52">
        <v>10553</v>
      </c>
    </row>
    <row r="872" spans="2:13" ht="15" customHeight="1" x14ac:dyDescent="0.3">
      <c r="B872" s="135">
        <v>10</v>
      </c>
      <c r="E872" s="151">
        <v>1</v>
      </c>
      <c r="F872" s="152" t="s">
        <v>305</v>
      </c>
      <c r="G872" s="152" t="s">
        <v>363</v>
      </c>
      <c r="H872" s="153">
        <v>1211.25</v>
      </c>
      <c r="I872" s="153">
        <v>0</v>
      </c>
      <c r="J872" s="154">
        <f t="shared" si="32"/>
        <v>1211.25</v>
      </c>
      <c r="M872" s="52">
        <v>10579</v>
      </c>
    </row>
    <row r="873" spans="2:13" ht="15" customHeight="1" x14ac:dyDescent="0.3">
      <c r="B873" s="135">
        <v>10</v>
      </c>
      <c r="E873" s="151">
        <v>1</v>
      </c>
      <c r="F873" s="152" t="s">
        <v>305</v>
      </c>
      <c r="G873" s="152" t="s">
        <v>363</v>
      </c>
      <c r="H873" s="153">
        <v>555</v>
      </c>
      <c r="I873" s="153">
        <v>0</v>
      </c>
      <c r="J873" s="154">
        <f t="shared" si="32"/>
        <v>555</v>
      </c>
      <c r="M873" s="52">
        <v>10580</v>
      </c>
    </row>
    <row r="874" spans="2:13" ht="15" customHeight="1" x14ac:dyDescent="0.3">
      <c r="B874" s="135">
        <v>10</v>
      </c>
      <c r="E874" s="151">
        <v>1</v>
      </c>
      <c r="F874" s="152" t="s">
        <v>305</v>
      </c>
      <c r="G874" s="152" t="s">
        <v>363</v>
      </c>
      <c r="H874" s="153">
        <v>500</v>
      </c>
      <c r="I874" s="153">
        <v>0</v>
      </c>
      <c r="J874" s="154">
        <f t="shared" si="32"/>
        <v>500</v>
      </c>
      <c r="M874" s="52">
        <v>10597</v>
      </c>
    </row>
    <row r="875" spans="2:13" ht="15" customHeight="1" x14ac:dyDescent="0.3">
      <c r="B875" s="135">
        <v>10</v>
      </c>
      <c r="E875" s="151">
        <v>1</v>
      </c>
      <c r="F875" s="152" t="s">
        <v>305</v>
      </c>
      <c r="G875" s="152" t="s">
        <v>363</v>
      </c>
      <c r="H875" s="153">
        <v>641.25</v>
      </c>
      <c r="I875" s="153">
        <v>0</v>
      </c>
      <c r="J875" s="154">
        <f t="shared" si="32"/>
        <v>641.25</v>
      </c>
      <c r="M875" s="52">
        <v>10613</v>
      </c>
    </row>
    <row r="876" spans="2:13" ht="15" customHeight="1" x14ac:dyDescent="0.3">
      <c r="B876" s="135">
        <v>10</v>
      </c>
      <c r="E876" s="151">
        <v>1</v>
      </c>
      <c r="F876" s="152" t="s">
        <v>305</v>
      </c>
      <c r="G876" s="152" t="s">
        <v>363</v>
      </c>
      <c r="H876" s="153">
        <v>285</v>
      </c>
      <c r="I876" s="153">
        <v>0</v>
      </c>
      <c r="J876" s="154">
        <f t="shared" si="32"/>
        <v>285</v>
      </c>
      <c r="M876" s="52">
        <v>10612</v>
      </c>
    </row>
    <row r="877" spans="2:13" ht="15" customHeight="1" x14ac:dyDescent="0.3">
      <c r="B877" s="135">
        <v>10</v>
      </c>
      <c r="E877" s="151">
        <v>1</v>
      </c>
      <c r="F877" s="152" t="s">
        <v>257</v>
      </c>
      <c r="G877" s="152" t="s">
        <v>351</v>
      </c>
      <c r="H877" s="153">
        <v>2059.58</v>
      </c>
      <c r="I877" s="153">
        <v>0</v>
      </c>
      <c r="J877" s="154">
        <f t="shared" si="32"/>
        <v>2059.58</v>
      </c>
      <c r="M877" s="52">
        <v>10610</v>
      </c>
    </row>
    <row r="878" spans="2:13" ht="15" customHeight="1" x14ac:dyDescent="0.3">
      <c r="B878" s="135">
        <v>10</v>
      </c>
      <c r="E878" s="151">
        <v>2</v>
      </c>
      <c r="F878" s="152" t="s">
        <v>184</v>
      </c>
      <c r="G878" s="152" t="s">
        <v>445</v>
      </c>
      <c r="H878" s="153">
        <v>375</v>
      </c>
      <c r="I878" s="153">
        <v>0</v>
      </c>
      <c r="J878" s="154">
        <f t="shared" si="32"/>
        <v>375</v>
      </c>
      <c r="M878" s="52">
        <v>10590</v>
      </c>
    </row>
    <row r="879" spans="2:13" ht="15" customHeight="1" x14ac:dyDescent="0.3">
      <c r="B879" s="135">
        <v>10</v>
      </c>
      <c r="E879" s="151">
        <v>3</v>
      </c>
      <c r="F879" s="152" t="s">
        <v>540</v>
      </c>
      <c r="G879" s="152" t="s">
        <v>541</v>
      </c>
      <c r="H879" s="153">
        <v>2625</v>
      </c>
      <c r="I879" s="153">
        <v>0</v>
      </c>
      <c r="J879" s="154">
        <f t="shared" si="32"/>
        <v>2625</v>
      </c>
      <c r="M879" s="52">
        <v>10558</v>
      </c>
    </row>
    <row r="880" spans="2:13" ht="15" customHeight="1" x14ac:dyDescent="0.3">
      <c r="B880" s="135">
        <v>10</v>
      </c>
      <c r="E880" s="151">
        <v>6</v>
      </c>
      <c r="F880" s="152" t="s">
        <v>264</v>
      </c>
      <c r="G880" s="152" t="s">
        <v>542</v>
      </c>
      <c r="H880" s="153">
        <v>154.1</v>
      </c>
      <c r="I880" s="153">
        <v>0</v>
      </c>
      <c r="J880" s="154">
        <f t="shared" si="32"/>
        <v>154.1</v>
      </c>
      <c r="M880" s="52">
        <v>10571</v>
      </c>
    </row>
    <row r="881" spans="2:13" ht="15" customHeight="1" x14ac:dyDescent="0.3">
      <c r="B881" s="135">
        <v>10</v>
      </c>
      <c r="E881" s="151">
        <v>6</v>
      </c>
      <c r="F881" s="152" t="s">
        <v>264</v>
      </c>
      <c r="G881" s="152" t="s">
        <v>543</v>
      </c>
      <c r="H881" s="153">
        <v>414.53</v>
      </c>
      <c r="I881" s="153">
        <v>0</v>
      </c>
      <c r="J881" s="154">
        <f t="shared" si="32"/>
        <v>414.53</v>
      </c>
      <c r="M881" s="52">
        <v>10574</v>
      </c>
    </row>
    <row r="882" spans="2:13" ht="15" customHeight="1" x14ac:dyDescent="0.3">
      <c r="B882" s="135">
        <v>10</v>
      </c>
      <c r="E882" s="151">
        <v>6</v>
      </c>
      <c r="F882" s="152" t="s">
        <v>264</v>
      </c>
      <c r="G882" s="152" t="s">
        <v>544</v>
      </c>
      <c r="H882" s="153">
        <v>79.069999999999993</v>
      </c>
      <c r="I882" s="153">
        <v>0</v>
      </c>
      <c r="J882" s="154">
        <f t="shared" si="32"/>
        <v>79.069999999999993</v>
      </c>
      <c r="M882" s="52">
        <v>10573</v>
      </c>
    </row>
    <row r="883" spans="2:13" ht="15" customHeight="1" x14ac:dyDescent="0.3">
      <c r="B883" s="135">
        <v>10</v>
      </c>
      <c r="E883" s="151">
        <v>6</v>
      </c>
      <c r="F883" s="152" t="s">
        <v>264</v>
      </c>
      <c r="G883" s="152" t="s">
        <v>545</v>
      </c>
      <c r="H883" s="153">
        <v>49.62</v>
      </c>
      <c r="I883" s="153">
        <v>0</v>
      </c>
      <c r="J883" s="154">
        <f t="shared" si="32"/>
        <v>49.62</v>
      </c>
      <c r="M883" s="52">
        <v>10572</v>
      </c>
    </row>
    <row r="884" spans="2:13" ht="15" customHeight="1" x14ac:dyDescent="0.3">
      <c r="B884" s="135">
        <v>10</v>
      </c>
      <c r="E884" s="151">
        <v>6</v>
      </c>
      <c r="F884" s="152" t="s">
        <v>264</v>
      </c>
      <c r="G884" s="152" t="s">
        <v>546</v>
      </c>
      <c r="H884" s="153">
        <v>86.54</v>
      </c>
      <c r="I884" s="153">
        <v>0</v>
      </c>
      <c r="J884" s="154">
        <f t="shared" si="32"/>
        <v>86.54</v>
      </c>
      <c r="M884" s="52">
        <v>10586</v>
      </c>
    </row>
    <row r="885" spans="2:13" ht="15" customHeight="1" x14ac:dyDescent="0.3">
      <c r="B885" s="135">
        <v>10</v>
      </c>
      <c r="E885" s="151">
        <v>6</v>
      </c>
      <c r="F885" s="152" t="s">
        <v>264</v>
      </c>
      <c r="G885" s="152" t="s">
        <v>547</v>
      </c>
      <c r="H885" s="153">
        <v>57.11</v>
      </c>
      <c r="I885" s="153">
        <v>0</v>
      </c>
      <c r="J885" s="154">
        <f t="shared" si="32"/>
        <v>57.11</v>
      </c>
      <c r="M885" s="52">
        <v>10559</v>
      </c>
    </row>
    <row r="886" spans="2:13" ht="15" customHeight="1" x14ac:dyDescent="0.3">
      <c r="B886" s="135">
        <v>10</v>
      </c>
      <c r="E886" s="151">
        <v>6</v>
      </c>
      <c r="F886" s="152" t="s">
        <v>264</v>
      </c>
      <c r="G886" s="152" t="s">
        <v>548</v>
      </c>
      <c r="H886" s="153">
        <v>21.61</v>
      </c>
      <c r="I886" s="153">
        <v>0</v>
      </c>
      <c r="J886" s="154">
        <f t="shared" si="32"/>
        <v>21.61</v>
      </c>
      <c r="M886" s="52">
        <v>10567</v>
      </c>
    </row>
    <row r="887" spans="2:13" ht="15" customHeight="1" x14ac:dyDescent="0.3">
      <c r="B887" s="135">
        <v>10</v>
      </c>
      <c r="E887" s="151">
        <v>6</v>
      </c>
      <c r="F887" s="152" t="s">
        <v>264</v>
      </c>
      <c r="G887" s="152" t="s">
        <v>549</v>
      </c>
      <c r="H887" s="153">
        <v>217.21</v>
      </c>
      <c r="I887" s="153">
        <v>0</v>
      </c>
      <c r="J887" s="154">
        <f t="shared" si="32"/>
        <v>217.21</v>
      </c>
      <c r="M887" s="52">
        <v>10575</v>
      </c>
    </row>
    <row r="888" spans="2:13" ht="15" customHeight="1" x14ac:dyDescent="0.3">
      <c r="B888" s="135">
        <v>10</v>
      </c>
      <c r="E888" s="151">
        <v>6</v>
      </c>
      <c r="F888" s="152" t="s">
        <v>264</v>
      </c>
      <c r="G888" s="152" t="s">
        <v>550</v>
      </c>
      <c r="H888" s="153">
        <v>283.81</v>
      </c>
      <c r="I888" s="153">
        <v>0</v>
      </c>
      <c r="J888" s="154">
        <f t="shared" si="32"/>
        <v>283.81</v>
      </c>
      <c r="M888" s="52">
        <v>10576</v>
      </c>
    </row>
    <row r="889" spans="2:13" ht="15" customHeight="1" x14ac:dyDescent="0.3">
      <c r="B889" s="135">
        <v>10</v>
      </c>
      <c r="E889" s="151">
        <v>6</v>
      </c>
      <c r="F889" s="152" t="s">
        <v>264</v>
      </c>
      <c r="G889" s="152" t="s">
        <v>551</v>
      </c>
      <c r="H889" s="153">
        <v>88.07</v>
      </c>
      <c r="I889" s="153">
        <v>0</v>
      </c>
      <c r="J889" s="154">
        <f t="shared" si="32"/>
        <v>88.07</v>
      </c>
      <c r="M889" s="52">
        <v>10546</v>
      </c>
    </row>
    <row r="890" spans="2:13" ht="15" customHeight="1" x14ac:dyDescent="0.3">
      <c r="B890" s="135">
        <v>10</v>
      </c>
      <c r="E890" s="151">
        <v>6</v>
      </c>
      <c r="F890" s="152" t="s">
        <v>264</v>
      </c>
      <c r="G890" s="152" t="s">
        <v>464</v>
      </c>
      <c r="H890" s="153">
        <v>2305.64</v>
      </c>
      <c r="I890" s="153">
        <v>0</v>
      </c>
      <c r="J890" s="154">
        <f t="shared" si="32"/>
        <v>2305.64</v>
      </c>
      <c r="M890" s="52">
        <v>10542</v>
      </c>
    </row>
    <row r="891" spans="2:13" ht="15" customHeight="1" x14ac:dyDescent="0.3">
      <c r="B891" s="135">
        <v>10</v>
      </c>
      <c r="E891" s="151">
        <v>6</v>
      </c>
      <c r="F891" s="152" t="s">
        <v>264</v>
      </c>
      <c r="G891" s="152" t="s">
        <v>384</v>
      </c>
      <c r="H891" s="153">
        <v>22.56</v>
      </c>
      <c r="I891" s="153">
        <v>0</v>
      </c>
      <c r="J891" s="154">
        <f t="shared" si="32"/>
        <v>22.56</v>
      </c>
      <c r="M891" s="52">
        <v>10543</v>
      </c>
    </row>
    <row r="892" spans="2:13" ht="15" customHeight="1" x14ac:dyDescent="0.3">
      <c r="B892" s="135">
        <v>10</v>
      </c>
      <c r="E892" s="151">
        <v>6</v>
      </c>
      <c r="F892" s="152" t="s">
        <v>264</v>
      </c>
      <c r="G892" s="152" t="s">
        <v>282</v>
      </c>
      <c r="H892" s="153">
        <v>167.33</v>
      </c>
      <c r="I892" s="153">
        <v>0</v>
      </c>
      <c r="J892" s="154">
        <f t="shared" si="32"/>
        <v>167.33</v>
      </c>
      <c r="M892" s="52">
        <v>10544</v>
      </c>
    </row>
    <row r="893" spans="2:13" ht="15" customHeight="1" x14ac:dyDescent="0.3">
      <c r="B893" s="135">
        <v>10</v>
      </c>
      <c r="E893" s="151">
        <v>6</v>
      </c>
      <c r="F893" s="152" t="s">
        <v>253</v>
      </c>
      <c r="G893" s="152" t="s">
        <v>552</v>
      </c>
      <c r="H893" s="153">
        <v>3500</v>
      </c>
      <c r="I893" s="153">
        <v>0</v>
      </c>
      <c r="J893" s="154">
        <f t="shared" si="32"/>
        <v>3500</v>
      </c>
      <c r="M893" s="52">
        <v>10555</v>
      </c>
    </row>
    <row r="894" spans="2:13" ht="15" customHeight="1" x14ac:dyDescent="0.3">
      <c r="B894" s="135">
        <v>10</v>
      </c>
      <c r="E894" s="151">
        <v>6</v>
      </c>
      <c r="F894" s="152" t="s">
        <v>264</v>
      </c>
      <c r="G894" s="152" t="s">
        <v>553</v>
      </c>
      <c r="H894" s="153">
        <v>453.03</v>
      </c>
      <c r="I894" s="153">
        <v>0</v>
      </c>
      <c r="J894" s="154">
        <f t="shared" si="32"/>
        <v>453.03</v>
      </c>
      <c r="M894" s="52">
        <v>10598</v>
      </c>
    </row>
    <row r="895" spans="2:13" ht="15" customHeight="1" x14ac:dyDescent="0.3">
      <c r="B895" s="135">
        <v>10</v>
      </c>
      <c r="E895" s="151">
        <v>6</v>
      </c>
      <c r="F895" s="152" t="s">
        <v>264</v>
      </c>
      <c r="G895" s="152" t="s">
        <v>554</v>
      </c>
      <c r="H895" s="153">
        <v>105.98</v>
      </c>
      <c r="I895" s="153">
        <v>0</v>
      </c>
      <c r="J895" s="154">
        <f t="shared" si="32"/>
        <v>105.98</v>
      </c>
      <c r="M895" s="52">
        <v>10599</v>
      </c>
    </row>
    <row r="896" spans="2:13" ht="15" customHeight="1" x14ac:dyDescent="0.3">
      <c r="B896" s="135">
        <v>10</v>
      </c>
      <c r="E896" s="151">
        <v>6</v>
      </c>
      <c r="F896" s="152" t="s">
        <v>264</v>
      </c>
      <c r="G896" s="152" t="s">
        <v>555</v>
      </c>
      <c r="H896" s="153">
        <v>87.28</v>
      </c>
      <c r="I896" s="153">
        <v>0</v>
      </c>
      <c r="J896" s="154">
        <f t="shared" si="32"/>
        <v>87.28</v>
      </c>
      <c r="M896" s="52">
        <v>10606</v>
      </c>
    </row>
    <row r="897" spans="2:13" ht="15" customHeight="1" x14ac:dyDescent="0.3">
      <c r="B897" s="135">
        <v>10</v>
      </c>
      <c r="E897" s="151">
        <v>6</v>
      </c>
      <c r="F897" s="152" t="s">
        <v>253</v>
      </c>
      <c r="G897" s="152" t="s">
        <v>556</v>
      </c>
      <c r="H897" s="153">
        <v>2610</v>
      </c>
      <c r="I897" s="153">
        <v>261</v>
      </c>
      <c r="J897" s="154">
        <f t="shared" si="32"/>
        <v>2349</v>
      </c>
      <c r="M897" s="52">
        <v>10594</v>
      </c>
    </row>
    <row r="898" spans="2:13" ht="15" customHeight="1" x14ac:dyDescent="0.3">
      <c r="B898" s="135">
        <v>10</v>
      </c>
      <c r="E898" s="151">
        <v>6</v>
      </c>
      <c r="F898" s="152" t="s">
        <v>264</v>
      </c>
      <c r="G898" s="152" t="s">
        <v>557</v>
      </c>
      <c r="H898" s="153">
        <v>64.08</v>
      </c>
      <c r="I898" s="153">
        <v>0</v>
      </c>
      <c r="J898" s="154">
        <f t="shared" si="32"/>
        <v>64.08</v>
      </c>
      <c r="M898" s="52">
        <v>10607</v>
      </c>
    </row>
    <row r="899" spans="2:13" ht="15" customHeight="1" x14ac:dyDescent="0.3">
      <c r="B899" s="135">
        <v>10</v>
      </c>
      <c r="E899" s="151">
        <v>6</v>
      </c>
      <c r="F899" s="152" t="s">
        <v>264</v>
      </c>
      <c r="G899" s="152" t="s">
        <v>558</v>
      </c>
      <c r="H899" s="153">
        <v>346.51</v>
      </c>
      <c r="I899" s="153">
        <v>0</v>
      </c>
      <c r="J899" s="154">
        <f t="shared" si="32"/>
        <v>346.51</v>
      </c>
      <c r="M899" s="52">
        <v>10608</v>
      </c>
    </row>
    <row r="900" spans="2:13" ht="15" customHeight="1" x14ac:dyDescent="0.3">
      <c r="B900" s="135">
        <v>10</v>
      </c>
      <c r="E900" s="151">
        <v>6</v>
      </c>
      <c r="F900" s="152" t="s">
        <v>264</v>
      </c>
      <c r="G900" s="152" t="s">
        <v>559</v>
      </c>
      <c r="H900" s="153">
        <v>627.88</v>
      </c>
      <c r="I900" s="153">
        <v>0</v>
      </c>
      <c r="J900" s="154">
        <f t="shared" si="32"/>
        <v>627.88</v>
      </c>
      <c r="M900" s="52">
        <v>10609</v>
      </c>
    </row>
    <row r="901" spans="2:13" ht="15" customHeight="1" x14ac:dyDescent="0.3">
      <c r="B901" s="135">
        <v>10</v>
      </c>
      <c r="E901" s="151">
        <v>6</v>
      </c>
      <c r="F901" s="152" t="s">
        <v>264</v>
      </c>
      <c r="G901" s="152" t="s">
        <v>560</v>
      </c>
      <c r="H901" s="153">
        <v>397.23</v>
      </c>
      <c r="I901" s="153">
        <v>0</v>
      </c>
      <c r="J901" s="154">
        <f t="shared" si="32"/>
        <v>397.23</v>
      </c>
      <c r="M901" s="52" t="s">
        <v>575</v>
      </c>
    </row>
    <row r="902" spans="2:13" ht="15" customHeight="1" x14ac:dyDescent="0.3">
      <c r="B902" s="135">
        <v>10</v>
      </c>
      <c r="E902" s="151">
        <v>16</v>
      </c>
      <c r="F902" s="152" t="s">
        <v>275</v>
      </c>
      <c r="G902" s="152" t="s">
        <v>331</v>
      </c>
      <c r="H902" s="153">
        <v>3678.71</v>
      </c>
      <c r="I902" s="153">
        <v>0</v>
      </c>
      <c r="J902" s="154">
        <f t="shared" si="32"/>
        <v>3678.71</v>
      </c>
      <c r="M902" s="52">
        <v>10528</v>
      </c>
    </row>
    <row r="903" spans="2:13" ht="15" customHeight="1" x14ac:dyDescent="0.3">
      <c r="B903" s="135">
        <v>10</v>
      </c>
      <c r="E903" s="151">
        <v>16</v>
      </c>
      <c r="F903" s="152" t="s">
        <v>275</v>
      </c>
      <c r="G903" s="152" t="s">
        <v>331</v>
      </c>
      <c r="H903" s="153">
        <v>292.39999999999998</v>
      </c>
      <c r="I903" s="153">
        <v>0</v>
      </c>
      <c r="J903" s="154">
        <f t="shared" si="32"/>
        <v>292.39999999999998</v>
      </c>
      <c r="M903" s="52">
        <v>10529</v>
      </c>
    </row>
    <row r="904" spans="2:13" ht="15" customHeight="1" x14ac:dyDescent="0.3">
      <c r="B904" s="135">
        <v>10</v>
      </c>
      <c r="E904" s="151">
        <v>16</v>
      </c>
      <c r="F904" s="152" t="s">
        <v>275</v>
      </c>
      <c r="G904" s="152" t="s">
        <v>331</v>
      </c>
      <c r="H904" s="153">
        <v>322.82</v>
      </c>
      <c r="I904" s="153">
        <v>0</v>
      </c>
      <c r="J904" s="154">
        <f t="shared" si="32"/>
        <v>322.82</v>
      </c>
      <c r="M904" s="52">
        <v>10530</v>
      </c>
    </row>
    <row r="905" spans="2:13" ht="15" customHeight="1" x14ac:dyDescent="0.3">
      <c r="B905" s="135">
        <v>10</v>
      </c>
      <c r="E905" s="151">
        <v>16</v>
      </c>
      <c r="F905" s="152" t="s">
        <v>275</v>
      </c>
      <c r="G905" s="152" t="s">
        <v>331</v>
      </c>
      <c r="H905" s="153">
        <v>124.73</v>
      </c>
      <c r="I905" s="153">
        <v>0</v>
      </c>
      <c r="J905" s="154">
        <f t="shared" si="32"/>
        <v>124.73</v>
      </c>
      <c r="M905" s="52">
        <v>10531</v>
      </c>
    </row>
    <row r="906" spans="2:13" ht="15" customHeight="1" x14ac:dyDescent="0.3">
      <c r="B906" s="135">
        <v>10</v>
      </c>
      <c r="E906" s="151">
        <v>16</v>
      </c>
      <c r="F906" s="152" t="s">
        <v>275</v>
      </c>
      <c r="G906" s="152" t="s">
        <v>331</v>
      </c>
      <c r="H906" s="153">
        <v>649.5</v>
      </c>
      <c r="I906" s="153">
        <v>0</v>
      </c>
      <c r="J906" s="154">
        <f t="shared" si="32"/>
        <v>649.5</v>
      </c>
      <c r="M906" s="52">
        <v>10532</v>
      </c>
    </row>
    <row r="907" spans="2:13" ht="15" customHeight="1" x14ac:dyDescent="0.3">
      <c r="B907" s="135">
        <v>10</v>
      </c>
      <c r="E907" s="151">
        <v>16</v>
      </c>
      <c r="F907" s="152" t="s">
        <v>275</v>
      </c>
      <c r="G907" s="152" t="s">
        <v>331</v>
      </c>
      <c r="H907" s="153">
        <v>649.5</v>
      </c>
      <c r="I907" s="153">
        <v>0</v>
      </c>
      <c r="J907" s="154">
        <f t="shared" si="32"/>
        <v>649.5</v>
      </c>
      <c r="M907" s="52">
        <v>10533</v>
      </c>
    </row>
    <row r="908" spans="2:13" ht="15" customHeight="1" x14ac:dyDescent="0.3">
      <c r="B908" s="135">
        <v>10</v>
      </c>
      <c r="E908" s="151">
        <v>16</v>
      </c>
      <c r="F908" s="152" t="s">
        <v>275</v>
      </c>
      <c r="G908" s="152" t="s">
        <v>331</v>
      </c>
      <c r="H908" s="153">
        <v>579.84</v>
      </c>
      <c r="I908" s="153">
        <v>0</v>
      </c>
      <c r="J908" s="154">
        <f t="shared" si="32"/>
        <v>579.84</v>
      </c>
      <c r="M908" s="52">
        <v>10534</v>
      </c>
    </row>
    <row r="909" spans="2:13" ht="15" customHeight="1" x14ac:dyDescent="0.3">
      <c r="B909" s="135">
        <v>10</v>
      </c>
      <c r="E909" s="151">
        <v>16</v>
      </c>
      <c r="F909" s="152" t="s">
        <v>275</v>
      </c>
      <c r="G909" s="152" t="s">
        <v>331</v>
      </c>
      <c r="H909" s="153">
        <v>-649.5</v>
      </c>
      <c r="I909" s="153">
        <v>0</v>
      </c>
      <c r="J909" s="154">
        <f t="shared" si="32"/>
        <v>-649.5</v>
      </c>
      <c r="M909" s="52">
        <v>10535</v>
      </c>
    </row>
    <row r="910" spans="2:13" ht="15" customHeight="1" x14ac:dyDescent="0.3">
      <c r="B910" s="135">
        <v>10</v>
      </c>
      <c r="E910" s="151">
        <v>16</v>
      </c>
      <c r="F910" s="152" t="s">
        <v>275</v>
      </c>
      <c r="G910" s="152" t="s">
        <v>331</v>
      </c>
      <c r="H910" s="153">
        <v>-649.5</v>
      </c>
      <c r="I910" s="153">
        <v>0</v>
      </c>
      <c r="J910" s="154">
        <f t="shared" si="32"/>
        <v>-649.5</v>
      </c>
      <c r="M910" s="52">
        <v>10536</v>
      </c>
    </row>
    <row r="911" spans="2:13" ht="15" customHeight="1" x14ac:dyDescent="0.3">
      <c r="B911" s="135">
        <v>10</v>
      </c>
      <c r="E911" s="151">
        <v>16</v>
      </c>
      <c r="F911" s="152" t="s">
        <v>275</v>
      </c>
      <c r="G911" s="152" t="s">
        <v>331</v>
      </c>
      <c r="H911" s="153">
        <v>25584.55</v>
      </c>
      <c r="I911" s="153">
        <v>0</v>
      </c>
      <c r="J911" s="154">
        <f t="shared" si="32"/>
        <v>25584.55</v>
      </c>
      <c r="M911" s="52">
        <v>10537</v>
      </c>
    </row>
    <row r="912" spans="2:13" ht="15" customHeight="1" x14ac:dyDescent="0.3">
      <c r="B912" s="135">
        <v>10</v>
      </c>
      <c r="E912" s="151">
        <v>16</v>
      </c>
      <c r="F912" s="152" t="s">
        <v>275</v>
      </c>
      <c r="G912" s="152" t="s">
        <v>331</v>
      </c>
      <c r="H912" s="153">
        <v>1277.3499999999999</v>
      </c>
      <c r="I912" s="153">
        <v>0</v>
      </c>
      <c r="J912" s="154">
        <f t="shared" si="32"/>
        <v>1277.3499999999999</v>
      </c>
      <c r="M912" s="52">
        <v>10538</v>
      </c>
    </row>
    <row r="913" spans="2:13" ht="15" customHeight="1" x14ac:dyDescent="0.3">
      <c r="B913" s="135">
        <v>10</v>
      </c>
      <c r="E913" s="151">
        <v>16</v>
      </c>
      <c r="F913" s="152" t="s">
        <v>275</v>
      </c>
      <c r="G913" s="152" t="s">
        <v>331</v>
      </c>
      <c r="H913" s="153">
        <v>337.56</v>
      </c>
      <c r="I913" s="153">
        <v>0</v>
      </c>
      <c r="J913" s="154">
        <f t="shared" si="32"/>
        <v>337.56</v>
      </c>
      <c r="M913" s="52">
        <v>10539</v>
      </c>
    </row>
    <row r="914" spans="2:13" ht="15" customHeight="1" x14ac:dyDescent="0.3">
      <c r="B914" s="135">
        <v>10</v>
      </c>
      <c r="E914" s="151">
        <v>16</v>
      </c>
      <c r="F914" s="152" t="s">
        <v>275</v>
      </c>
      <c r="G914" s="152" t="s">
        <v>331</v>
      </c>
      <c r="H914" s="153">
        <v>640.07000000000005</v>
      </c>
      <c r="I914" s="153">
        <v>0</v>
      </c>
      <c r="J914" s="154">
        <f t="shared" si="32"/>
        <v>640.07000000000005</v>
      </c>
      <c r="M914" s="52">
        <v>10540</v>
      </c>
    </row>
    <row r="915" spans="2:13" ht="15" customHeight="1" x14ac:dyDescent="0.3">
      <c r="B915" s="135">
        <v>10</v>
      </c>
      <c r="E915" s="151">
        <v>16</v>
      </c>
      <c r="F915" s="152" t="s">
        <v>275</v>
      </c>
      <c r="G915" s="152" t="s">
        <v>331</v>
      </c>
      <c r="H915" s="153">
        <v>49.67</v>
      </c>
      <c r="I915" s="153">
        <v>0</v>
      </c>
      <c r="J915" s="154">
        <f t="shared" si="32"/>
        <v>49.67</v>
      </c>
      <c r="M915" s="52">
        <v>10600</v>
      </c>
    </row>
    <row r="916" spans="2:13" ht="15" customHeight="1" x14ac:dyDescent="0.3">
      <c r="B916" s="135">
        <v>10</v>
      </c>
      <c r="E916" s="151">
        <v>16</v>
      </c>
      <c r="F916" s="152" t="s">
        <v>275</v>
      </c>
      <c r="G916" s="152" t="s">
        <v>331</v>
      </c>
      <c r="H916" s="153">
        <v>5758.82</v>
      </c>
      <c r="I916" s="153">
        <v>0</v>
      </c>
      <c r="J916" s="154">
        <f t="shared" si="32"/>
        <v>5758.82</v>
      </c>
      <c r="M916" s="52">
        <v>10601</v>
      </c>
    </row>
    <row r="917" spans="2:13" ht="15" customHeight="1" x14ac:dyDescent="0.3">
      <c r="B917" s="135">
        <v>10</v>
      </c>
      <c r="E917" s="151">
        <v>16</v>
      </c>
      <c r="F917" s="152" t="s">
        <v>275</v>
      </c>
      <c r="G917" s="152" t="s">
        <v>331</v>
      </c>
      <c r="H917" s="153">
        <v>162.38</v>
      </c>
      <c r="I917" s="153">
        <v>0</v>
      </c>
      <c r="J917" s="154">
        <f t="shared" si="32"/>
        <v>162.38</v>
      </c>
      <c r="M917" s="52">
        <v>10602</v>
      </c>
    </row>
    <row r="918" spans="2:13" ht="15" customHeight="1" x14ac:dyDescent="0.3">
      <c r="B918" s="135">
        <v>10</v>
      </c>
      <c r="E918" s="151">
        <v>16</v>
      </c>
      <c r="F918" s="152" t="s">
        <v>275</v>
      </c>
      <c r="G918" s="152" t="s">
        <v>331</v>
      </c>
      <c r="H918" s="153">
        <v>59.13</v>
      </c>
      <c r="I918" s="153">
        <v>0</v>
      </c>
      <c r="J918" s="154">
        <f t="shared" si="32"/>
        <v>59.13</v>
      </c>
      <c r="M918" s="52">
        <v>10603</v>
      </c>
    </row>
    <row r="919" spans="2:13" ht="15" customHeight="1" x14ac:dyDescent="0.3">
      <c r="B919" s="135">
        <v>10</v>
      </c>
      <c r="E919" s="151">
        <v>16</v>
      </c>
      <c r="F919" s="152" t="s">
        <v>275</v>
      </c>
      <c r="G919" s="152" t="s">
        <v>331</v>
      </c>
      <c r="H919" s="153">
        <v>1202.93</v>
      </c>
      <c r="I919" s="153">
        <v>0</v>
      </c>
      <c r="J919" s="154">
        <f t="shared" si="32"/>
        <v>1202.93</v>
      </c>
      <c r="M919" s="52">
        <v>10611</v>
      </c>
    </row>
    <row r="920" spans="2:13" ht="15" customHeight="1" x14ac:dyDescent="0.3">
      <c r="B920" s="135">
        <v>10</v>
      </c>
      <c r="E920" s="151">
        <v>2</v>
      </c>
      <c r="F920" s="152" t="s">
        <v>482</v>
      </c>
      <c r="G920" s="152" t="s">
        <v>268</v>
      </c>
      <c r="H920" s="153">
        <v>10962.19</v>
      </c>
      <c r="I920" s="153">
        <v>0</v>
      </c>
      <c r="J920" s="154">
        <f t="shared" ref="J920:J929" si="33">+H920-I920</f>
        <v>10962.19</v>
      </c>
      <c r="M920" s="52" t="s">
        <v>534</v>
      </c>
    </row>
    <row r="921" spans="2:13" ht="15" customHeight="1" x14ac:dyDescent="0.3">
      <c r="B921" s="135">
        <v>10</v>
      </c>
      <c r="E921" s="151">
        <v>3</v>
      </c>
      <c r="F921" s="152" t="s">
        <v>573</v>
      </c>
      <c r="G921" s="152" t="s">
        <v>574</v>
      </c>
      <c r="H921" s="153">
        <v>33080</v>
      </c>
      <c r="I921" s="153">
        <v>1168</v>
      </c>
      <c r="J921" s="154">
        <f>+H921-I921</f>
        <v>31912</v>
      </c>
      <c r="M921" s="52" t="s">
        <v>534</v>
      </c>
    </row>
    <row r="922" spans="2:13" ht="15" customHeight="1" x14ac:dyDescent="0.3">
      <c r="B922" s="135">
        <v>10</v>
      </c>
      <c r="E922" s="151">
        <v>6</v>
      </c>
      <c r="F922" s="152" t="s">
        <v>561</v>
      </c>
      <c r="G922" s="152" t="s">
        <v>562</v>
      </c>
      <c r="H922" s="153">
        <v>15680</v>
      </c>
      <c r="I922" s="153">
        <v>1568</v>
      </c>
      <c r="J922" s="154">
        <f t="shared" si="33"/>
        <v>14112</v>
      </c>
      <c r="M922" s="52" t="s">
        <v>534</v>
      </c>
    </row>
    <row r="923" spans="2:13" ht="15" customHeight="1" x14ac:dyDescent="0.3">
      <c r="B923" s="135">
        <v>10</v>
      </c>
      <c r="E923" s="151">
        <v>7</v>
      </c>
      <c r="F923" s="152" t="s">
        <v>509</v>
      </c>
      <c r="G923" s="152" t="s">
        <v>563</v>
      </c>
      <c r="H923" s="153">
        <v>95816.15</v>
      </c>
      <c r="I923" s="153">
        <v>4900</v>
      </c>
      <c r="J923" s="154">
        <f t="shared" si="33"/>
        <v>90916.15</v>
      </c>
      <c r="M923" s="52" t="s">
        <v>534</v>
      </c>
    </row>
    <row r="924" spans="2:13" ht="15" customHeight="1" x14ac:dyDescent="0.3">
      <c r="B924" s="135">
        <v>10</v>
      </c>
      <c r="E924" s="151">
        <v>7</v>
      </c>
      <c r="F924" s="152" t="s">
        <v>480</v>
      </c>
      <c r="G924" s="152" t="s">
        <v>564</v>
      </c>
      <c r="H924" s="153">
        <v>10537.640000000001</v>
      </c>
      <c r="I924" s="153">
        <v>0</v>
      </c>
      <c r="J924" s="154">
        <f t="shared" si="33"/>
        <v>10537.640000000001</v>
      </c>
      <c r="M924" s="52" t="s">
        <v>534</v>
      </c>
    </row>
    <row r="925" spans="2:13" ht="15" customHeight="1" x14ac:dyDescent="0.3">
      <c r="B925" s="135">
        <v>10</v>
      </c>
      <c r="E925" s="151">
        <v>8</v>
      </c>
      <c r="F925" s="152" t="s">
        <v>565</v>
      </c>
      <c r="G925" s="152" t="s">
        <v>566</v>
      </c>
      <c r="H925" s="153">
        <v>12000</v>
      </c>
      <c r="I925" s="153">
        <v>0</v>
      </c>
      <c r="J925" s="154">
        <f t="shared" si="33"/>
        <v>12000</v>
      </c>
      <c r="M925" s="52">
        <v>10596</v>
      </c>
    </row>
    <row r="926" spans="2:13" ht="15" customHeight="1" x14ac:dyDescent="0.3">
      <c r="B926" s="135">
        <v>10</v>
      </c>
      <c r="E926" s="151">
        <v>12</v>
      </c>
      <c r="F926" s="152" t="s">
        <v>567</v>
      </c>
      <c r="G926" s="152" t="s">
        <v>568</v>
      </c>
      <c r="H926" s="153">
        <v>76560</v>
      </c>
      <c r="I926" s="153">
        <v>7656</v>
      </c>
      <c r="J926" s="154">
        <f>+H926-I926</f>
        <v>68904</v>
      </c>
      <c r="M926" s="52" t="s">
        <v>534</v>
      </c>
    </row>
    <row r="927" spans="2:13" ht="15" customHeight="1" x14ac:dyDescent="0.3">
      <c r="B927" s="135">
        <v>10</v>
      </c>
      <c r="E927" s="151">
        <v>15</v>
      </c>
      <c r="F927" s="152" t="s">
        <v>340</v>
      </c>
      <c r="G927" s="152" t="s">
        <v>569</v>
      </c>
      <c r="H927" s="153">
        <v>100000</v>
      </c>
      <c r="I927" s="153">
        <v>10000</v>
      </c>
      <c r="J927" s="154">
        <f t="shared" si="33"/>
        <v>90000</v>
      </c>
      <c r="M927" s="52" t="s">
        <v>534</v>
      </c>
    </row>
    <row r="928" spans="2:13" ht="15" customHeight="1" x14ac:dyDescent="0.3">
      <c r="B928" s="135">
        <v>10</v>
      </c>
      <c r="E928" s="151">
        <v>15</v>
      </c>
      <c r="F928" s="152" t="s">
        <v>570</v>
      </c>
      <c r="G928" s="152" t="s">
        <v>408</v>
      </c>
      <c r="H928" s="153">
        <v>18932.93</v>
      </c>
      <c r="I928" s="153">
        <v>0</v>
      </c>
      <c r="J928" s="154">
        <f t="shared" si="33"/>
        <v>18932.93</v>
      </c>
      <c r="M928" s="52" t="s">
        <v>534</v>
      </c>
    </row>
    <row r="929" spans="2:13" ht="15" customHeight="1" x14ac:dyDescent="0.3">
      <c r="B929" s="135">
        <v>10</v>
      </c>
      <c r="E929" s="151">
        <v>16</v>
      </c>
      <c r="F929" s="152" t="s">
        <v>571</v>
      </c>
      <c r="G929" s="152" t="s">
        <v>572</v>
      </c>
      <c r="H929" s="153">
        <v>34000</v>
      </c>
      <c r="I929" s="153">
        <v>3400</v>
      </c>
      <c r="J929" s="154">
        <f t="shared" si="33"/>
        <v>30600</v>
      </c>
      <c r="M929" s="52" t="s">
        <v>534</v>
      </c>
    </row>
    <row r="930" spans="2:13" ht="15" customHeight="1" x14ac:dyDescent="0.3">
      <c r="B930" s="135">
        <v>11</v>
      </c>
      <c r="E930" s="151">
        <v>1</v>
      </c>
      <c r="F930" s="152" t="s">
        <v>305</v>
      </c>
      <c r="G930" s="152" t="s">
        <v>363</v>
      </c>
      <c r="H930" s="153">
        <v>240</v>
      </c>
      <c r="I930" s="153">
        <v>0</v>
      </c>
      <c r="J930" s="154">
        <f t="shared" ref="J930:J993" si="34">H930-I930</f>
        <v>240</v>
      </c>
      <c r="M930" s="52">
        <v>10659</v>
      </c>
    </row>
    <row r="931" spans="2:13" ht="15" customHeight="1" x14ac:dyDescent="0.3">
      <c r="B931" s="135">
        <v>11</v>
      </c>
      <c r="E931" s="151">
        <v>1</v>
      </c>
      <c r="F931" s="152" t="s">
        <v>305</v>
      </c>
      <c r="G931" s="152" t="s">
        <v>363</v>
      </c>
      <c r="H931" s="153">
        <v>380</v>
      </c>
      <c r="I931" s="153">
        <v>0</v>
      </c>
      <c r="J931" s="154">
        <f t="shared" si="34"/>
        <v>380</v>
      </c>
      <c r="M931" s="52">
        <v>10660</v>
      </c>
    </row>
    <row r="932" spans="2:13" ht="15" customHeight="1" x14ac:dyDescent="0.3">
      <c r="B932" s="135">
        <v>11</v>
      </c>
      <c r="E932" s="151">
        <v>1</v>
      </c>
      <c r="F932" s="152" t="s">
        <v>305</v>
      </c>
      <c r="G932" s="152" t="s">
        <v>363</v>
      </c>
      <c r="H932" s="153">
        <v>300</v>
      </c>
      <c r="I932" s="153">
        <v>0</v>
      </c>
      <c r="J932" s="154">
        <f t="shared" si="34"/>
        <v>300</v>
      </c>
      <c r="M932" s="52">
        <v>10661</v>
      </c>
    </row>
    <row r="933" spans="2:13" ht="15" customHeight="1" x14ac:dyDescent="0.3">
      <c r="B933" s="135">
        <v>11</v>
      </c>
      <c r="E933" s="151">
        <v>1</v>
      </c>
      <c r="F933" s="152" t="s">
        <v>305</v>
      </c>
      <c r="G933" s="152" t="s">
        <v>363</v>
      </c>
      <c r="H933" s="153">
        <v>760</v>
      </c>
      <c r="I933" s="153">
        <v>0</v>
      </c>
      <c r="J933" s="154">
        <f t="shared" si="34"/>
        <v>760</v>
      </c>
      <c r="M933" s="52">
        <v>10662</v>
      </c>
    </row>
    <row r="934" spans="2:13" ht="15" customHeight="1" x14ac:dyDescent="0.3">
      <c r="B934" s="135">
        <v>11</v>
      </c>
      <c r="E934" s="151">
        <v>1</v>
      </c>
      <c r="F934" s="152" t="s">
        <v>576</v>
      </c>
      <c r="G934" s="152" t="s">
        <v>577</v>
      </c>
      <c r="H934" s="153">
        <v>745.57</v>
      </c>
      <c r="I934" s="153">
        <v>0</v>
      </c>
      <c r="J934" s="154">
        <f t="shared" si="34"/>
        <v>745.57</v>
      </c>
      <c r="M934" s="52">
        <v>10671</v>
      </c>
    </row>
    <row r="935" spans="2:13" ht="15" customHeight="1" x14ac:dyDescent="0.3">
      <c r="B935" s="135">
        <v>11</v>
      </c>
      <c r="E935" s="151">
        <v>1</v>
      </c>
      <c r="F935" s="152" t="s">
        <v>354</v>
      </c>
      <c r="G935" s="152" t="s">
        <v>255</v>
      </c>
      <c r="H935" s="153">
        <v>187.27</v>
      </c>
      <c r="I935" s="153">
        <v>0</v>
      </c>
      <c r="J935" s="154">
        <f t="shared" si="34"/>
        <v>187.27</v>
      </c>
      <c r="M935" s="52">
        <v>10630</v>
      </c>
    </row>
    <row r="936" spans="2:13" ht="15" customHeight="1" x14ac:dyDescent="0.3">
      <c r="B936" s="135">
        <v>11</v>
      </c>
      <c r="E936" s="151">
        <v>1</v>
      </c>
      <c r="F936" s="152" t="s">
        <v>354</v>
      </c>
      <c r="G936" s="152" t="s">
        <v>255</v>
      </c>
      <c r="H936" s="153">
        <v>187.27</v>
      </c>
      <c r="I936" s="153">
        <v>0</v>
      </c>
      <c r="J936" s="154">
        <f t="shared" si="34"/>
        <v>187.27</v>
      </c>
      <c r="M936" s="52">
        <v>10631</v>
      </c>
    </row>
    <row r="937" spans="2:13" ht="15" customHeight="1" x14ac:dyDescent="0.3">
      <c r="B937" s="135">
        <v>11</v>
      </c>
      <c r="E937" s="151">
        <v>1</v>
      </c>
      <c r="F937" s="152" t="s">
        <v>248</v>
      </c>
      <c r="G937" s="152" t="s">
        <v>286</v>
      </c>
      <c r="H937" s="153">
        <v>13.39</v>
      </c>
      <c r="I937" s="153">
        <v>0</v>
      </c>
      <c r="J937" s="154">
        <f t="shared" si="34"/>
        <v>13.39</v>
      </c>
      <c r="M937" s="52">
        <v>10651</v>
      </c>
    </row>
    <row r="938" spans="2:13" ht="15" customHeight="1" x14ac:dyDescent="0.3">
      <c r="B938" s="135">
        <v>11</v>
      </c>
      <c r="E938" s="151">
        <v>1</v>
      </c>
      <c r="F938" s="152" t="s">
        <v>248</v>
      </c>
      <c r="G938" s="152" t="s">
        <v>286</v>
      </c>
      <c r="H938" s="153">
        <v>13.39</v>
      </c>
      <c r="I938" s="153">
        <v>0</v>
      </c>
      <c r="J938" s="154">
        <f t="shared" si="34"/>
        <v>13.39</v>
      </c>
      <c r="M938" s="52">
        <v>10652</v>
      </c>
    </row>
    <row r="939" spans="2:13" ht="15" customHeight="1" x14ac:dyDescent="0.3">
      <c r="B939" s="135">
        <v>11</v>
      </c>
      <c r="E939" s="151">
        <v>1</v>
      </c>
      <c r="F939" s="152" t="s">
        <v>247</v>
      </c>
      <c r="G939" s="152" t="s">
        <v>578</v>
      </c>
      <c r="H939" s="153">
        <v>41.97</v>
      </c>
      <c r="I939" s="153">
        <v>0</v>
      </c>
      <c r="J939" s="154">
        <f t="shared" si="34"/>
        <v>41.97</v>
      </c>
      <c r="M939" s="52">
        <v>10653</v>
      </c>
    </row>
    <row r="940" spans="2:13" ht="15" customHeight="1" x14ac:dyDescent="0.3">
      <c r="B940" s="135">
        <v>11</v>
      </c>
      <c r="E940" s="151">
        <v>1</v>
      </c>
      <c r="F940" s="152" t="s">
        <v>352</v>
      </c>
      <c r="G940" s="152" t="s">
        <v>255</v>
      </c>
      <c r="H940" s="153">
        <v>817.83</v>
      </c>
      <c r="I940" s="153">
        <v>0</v>
      </c>
      <c r="J940" s="154">
        <f t="shared" si="34"/>
        <v>817.83</v>
      </c>
      <c r="M940" s="52">
        <v>10632</v>
      </c>
    </row>
    <row r="941" spans="2:13" ht="15" customHeight="1" x14ac:dyDescent="0.3">
      <c r="B941" s="135">
        <v>11</v>
      </c>
      <c r="E941" s="151">
        <v>1</v>
      </c>
      <c r="F941" s="152" t="s">
        <v>354</v>
      </c>
      <c r="G941" s="152" t="s">
        <v>255</v>
      </c>
      <c r="H941" s="153">
        <v>187.27</v>
      </c>
      <c r="I941" s="153">
        <v>0</v>
      </c>
      <c r="J941" s="154">
        <f t="shared" si="34"/>
        <v>187.27</v>
      </c>
      <c r="M941" s="52">
        <v>10635</v>
      </c>
    </row>
    <row r="942" spans="2:13" ht="15" customHeight="1" x14ac:dyDescent="0.3">
      <c r="B942" s="135">
        <v>11</v>
      </c>
      <c r="E942" s="151">
        <v>1</v>
      </c>
      <c r="F942" s="152" t="s">
        <v>354</v>
      </c>
      <c r="G942" s="152" t="s">
        <v>255</v>
      </c>
      <c r="H942" s="153">
        <v>190.52</v>
      </c>
      <c r="I942" s="153">
        <v>0</v>
      </c>
      <c r="J942" s="154">
        <f t="shared" si="34"/>
        <v>190.52</v>
      </c>
      <c r="M942" s="52">
        <v>10637</v>
      </c>
    </row>
    <row r="943" spans="2:13" ht="15" customHeight="1" x14ac:dyDescent="0.3">
      <c r="B943" s="135">
        <v>11</v>
      </c>
      <c r="E943" s="151">
        <v>1</v>
      </c>
      <c r="F943" s="152" t="s">
        <v>354</v>
      </c>
      <c r="G943" s="152" t="s">
        <v>255</v>
      </c>
      <c r="H943" s="153">
        <v>190.52</v>
      </c>
      <c r="I943" s="153">
        <v>0</v>
      </c>
      <c r="J943" s="154">
        <f t="shared" si="34"/>
        <v>190.52</v>
      </c>
      <c r="M943" s="52">
        <v>10638</v>
      </c>
    </row>
    <row r="944" spans="2:13" ht="15" customHeight="1" x14ac:dyDescent="0.3">
      <c r="B944" s="135">
        <v>11</v>
      </c>
      <c r="E944" s="151">
        <v>1</v>
      </c>
      <c r="F944" s="152" t="s">
        <v>354</v>
      </c>
      <c r="G944" s="152" t="s">
        <v>255</v>
      </c>
      <c r="H944" s="153">
        <v>187.27</v>
      </c>
      <c r="I944" s="153">
        <v>0</v>
      </c>
      <c r="J944" s="154">
        <f t="shared" si="34"/>
        <v>187.27</v>
      </c>
      <c r="M944" s="52">
        <v>10636</v>
      </c>
    </row>
    <row r="945" spans="2:13" ht="15" customHeight="1" x14ac:dyDescent="0.3">
      <c r="B945" s="135">
        <v>11</v>
      </c>
      <c r="E945" s="151">
        <v>1</v>
      </c>
      <c r="F945" s="152" t="s">
        <v>354</v>
      </c>
      <c r="G945" s="152" t="s">
        <v>255</v>
      </c>
      <c r="H945" s="153">
        <v>150.74</v>
      </c>
      <c r="I945" s="153">
        <v>0</v>
      </c>
      <c r="J945" s="154">
        <f t="shared" si="34"/>
        <v>150.74</v>
      </c>
      <c r="M945" s="52">
        <v>10633</v>
      </c>
    </row>
    <row r="946" spans="2:13" ht="15" customHeight="1" x14ac:dyDescent="0.3">
      <c r="B946" s="135">
        <v>11</v>
      </c>
      <c r="E946" s="151">
        <v>1</v>
      </c>
      <c r="F946" s="152" t="s">
        <v>354</v>
      </c>
      <c r="G946" s="152" t="s">
        <v>255</v>
      </c>
      <c r="H946" s="153">
        <v>150.74</v>
      </c>
      <c r="I946" s="153">
        <v>0</v>
      </c>
      <c r="J946" s="154">
        <f t="shared" si="34"/>
        <v>150.74</v>
      </c>
      <c r="M946" s="52">
        <v>10634</v>
      </c>
    </row>
    <row r="947" spans="2:13" ht="15" customHeight="1" x14ac:dyDescent="0.3">
      <c r="B947" s="135">
        <v>11</v>
      </c>
      <c r="E947" s="151">
        <v>1</v>
      </c>
      <c r="F947" s="152" t="s">
        <v>259</v>
      </c>
      <c r="G947" s="152" t="s">
        <v>260</v>
      </c>
      <c r="H947" s="153">
        <v>1515.5</v>
      </c>
      <c r="I947" s="153">
        <v>0</v>
      </c>
      <c r="J947" s="154">
        <f t="shared" si="34"/>
        <v>1515.5</v>
      </c>
      <c r="M947" s="52">
        <v>10629</v>
      </c>
    </row>
    <row r="948" spans="2:13" ht="15" customHeight="1" x14ac:dyDescent="0.3">
      <c r="B948" s="135">
        <v>11</v>
      </c>
      <c r="E948" s="151">
        <v>1</v>
      </c>
      <c r="F948" s="152" t="s">
        <v>241</v>
      </c>
      <c r="G948" s="152" t="s">
        <v>238</v>
      </c>
      <c r="H948" s="153">
        <v>521.77</v>
      </c>
      <c r="I948" s="153">
        <v>0</v>
      </c>
      <c r="J948" s="154">
        <f t="shared" si="34"/>
        <v>521.77</v>
      </c>
      <c r="M948" s="52">
        <v>10641</v>
      </c>
    </row>
    <row r="949" spans="2:13" ht="15" customHeight="1" x14ac:dyDescent="0.3">
      <c r="B949" s="135">
        <v>11</v>
      </c>
      <c r="E949" s="151">
        <v>1</v>
      </c>
      <c r="F949" s="152" t="s">
        <v>579</v>
      </c>
      <c r="G949" s="152" t="s">
        <v>580</v>
      </c>
      <c r="H949" s="153">
        <v>410.74</v>
      </c>
      <c r="I949" s="153">
        <v>0</v>
      </c>
      <c r="J949" s="154">
        <f t="shared" si="34"/>
        <v>410.74</v>
      </c>
      <c r="M949" s="52">
        <v>10670</v>
      </c>
    </row>
    <row r="950" spans="2:13" ht="15" customHeight="1" x14ac:dyDescent="0.3">
      <c r="B950" s="135">
        <v>11</v>
      </c>
      <c r="E950" s="151">
        <v>1</v>
      </c>
      <c r="F950" s="152" t="s">
        <v>247</v>
      </c>
      <c r="G950" s="152" t="s">
        <v>581</v>
      </c>
      <c r="H950" s="153">
        <v>21.63</v>
      </c>
      <c r="I950" s="153">
        <v>0</v>
      </c>
      <c r="J950" s="154">
        <f t="shared" si="34"/>
        <v>21.63</v>
      </c>
      <c r="M950" s="52">
        <v>10658</v>
      </c>
    </row>
    <row r="951" spans="2:13" ht="15" customHeight="1" x14ac:dyDescent="0.3">
      <c r="B951" s="135">
        <v>11</v>
      </c>
      <c r="E951" s="151">
        <v>1</v>
      </c>
      <c r="F951" s="152" t="s">
        <v>354</v>
      </c>
      <c r="G951" s="152" t="s">
        <v>255</v>
      </c>
      <c r="H951" s="153">
        <v>187.27</v>
      </c>
      <c r="I951" s="153">
        <v>0</v>
      </c>
      <c r="J951" s="154">
        <f t="shared" si="34"/>
        <v>187.27</v>
      </c>
      <c r="M951" s="52">
        <v>10682</v>
      </c>
    </row>
    <row r="952" spans="2:13" ht="15" customHeight="1" x14ac:dyDescent="0.3">
      <c r="B952" s="135">
        <v>11</v>
      </c>
      <c r="E952" s="151">
        <v>1</v>
      </c>
      <c r="F952" s="152" t="s">
        <v>257</v>
      </c>
      <c r="G952" s="152" t="s">
        <v>351</v>
      </c>
      <c r="H952" s="153">
        <v>1521.58</v>
      </c>
      <c r="I952" s="153">
        <v>0</v>
      </c>
      <c r="J952" s="154">
        <f t="shared" si="34"/>
        <v>1521.58</v>
      </c>
      <c r="M952" s="52">
        <v>10681</v>
      </c>
    </row>
    <row r="953" spans="2:13" ht="15" customHeight="1" x14ac:dyDescent="0.3">
      <c r="B953" s="135">
        <v>11</v>
      </c>
      <c r="E953" s="151">
        <v>1</v>
      </c>
      <c r="F953" s="152" t="s">
        <v>305</v>
      </c>
      <c r="G953" s="152" t="s">
        <v>363</v>
      </c>
      <c r="H953" s="153">
        <v>420</v>
      </c>
      <c r="I953" s="153">
        <v>0</v>
      </c>
      <c r="J953" s="154">
        <f t="shared" si="34"/>
        <v>420</v>
      </c>
      <c r="M953" s="52">
        <v>10691</v>
      </c>
    </row>
    <row r="954" spans="2:13" ht="15" customHeight="1" x14ac:dyDescent="0.3">
      <c r="B954" s="135">
        <v>11</v>
      </c>
      <c r="E954" s="151">
        <v>1</v>
      </c>
      <c r="F954" s="152" t="s">
        <v>305</v>
      </c>
      <c r="G954" s="152" t="s">
        <v>363</v>
      </c>
      <c r="H954" s="153">
        <v>570</v>
      </c>
      <c r="I954" s="153">
        <v>0</v>
      </c>
      <c r="J954" s="154">
        <f t="shared" si="34"/>
        <v>570</v>
      </c>
      <c r="M954" s="52">
        <v>10692</v>
      </c>
    </row>
    <row r="955" spans="2:13" ht="15" customHeight="1" x14ac:dyDescent="0.3">
      <c r="B955" s="135">
        <v>11</v>
      </c>
      <c r="E955" s="151">
        <v>1</v>
      </c>
      <c r="F955" s="152" t="s">
        <v>305</v>
      </c>
      <c r="G955" s="152" t="s">
        <v>363</v>
      </c>
      <c r="H955" s="153">
        <v>973.75</v>
      </c>
      <c r="I955" s="153">
        <v>0</v>
      </c>
      <c r="J955" s="154">
        <f t="shared" si="34"/>
        <v>973.75</v>
      </c>
      <c r="M955" s="52">
        <v>10693</v>
      </c>
    </row>
    <row r="956" spans="2:13" ht="15" customHeight="1" x14ac:dyDescent="0.3">
      <c r="B956" s="135">
        <v>11</v>
      </c>
      <c r="E956" s="151">
        <v>1</v>
      </c>
      <c r="F956" s="152" t="s">
        <v>305</v>
      </c>
      <c r="G956" s="152" t="s">
        <v>363</v>
      </c>
      <c r="H956" s="153">
        <v>330</v>
      </c>
      <c r="I956" s="153">
        <v>0</v>
      </c>
      <c r="J956" s="154">
        <f t="shared" si="34"/>
        <v>330</v>
      </c>
      <c r="M956" s="52">
        <v>10694</v>
      </c>
    </row>
    <row r="957" spans="2:13" ht="15" customHeight="1" x14ac:dyDescent="0.3">
      <c r="B957" s="135">
        <v>11</v>
      </c>
      <c r="E957" s="151">
        <v>1</v>
      </c>
      <c r="F957" s="152" t="s">
        <v>259</v>
      </c>
      <c r="G957" s="152" t="s">
        <v>260</v>
      </c>
      <c r="H957" s="153">
        <v>1515.5</v>
      </c>
      <c r="I957" s="153">
        <v>0</v>
      </c>
      <c r="J957" s="154">
        <f t="shared" si="34"/>
        <v>1515.5</v>
      </c>
      <c r="M957" s="52">
        <v>10709</v>
      </c>
    </row>
    <row r="958" spans="2:13" ht="15" customHeight="1" x14ac:dyDescent="0.3">
      <c r="B958" s="135">
        <v>11</v>
      </c>
      <c r="E958" s="151">
        <v>1</v>
      </c>
      <c r="F958" s="152" t="s">
        <v>259</v>
      </c>
      <c r="G958" s="152" t="s">
        <v>260</v>
      </c>
      <c r="H958" s="153">
        <v>1515.5</v>
      </c>
      <c r="I958" s="153">
        <v>0</v>
      </c>
      <c r="J958" s="154">
        <f t="shared" si="34"/>
        <v>1515.5</v>
      </c>
      <c r="M958" s="52">
        <v>10710</v>
      </c>
    </row>
    <row r="959" spans="2:13" ht="15" customHeight="1" x14ac:dyDescent="0.3">
      <c r="B959" s="135">
        <v>11</v>
      </c>
      <c r="E959" s="151">
        <v>1</v>
      </c>
      <c r="F959" s="152" t="s">
        <v>354</v>
      </c>
      <c r="G959" s="152" t="s">
        <v>255</v>
      </c>
      <c r="H959" s="153">
        <v>187.27</v>
      </c>
      <c r="I959" s="153">
        <v>0</v>
      </c>
      <c r="J959" s="154">
        <f t="shared" si="34"/>
        <v>187.27</v>
      </c>
      <c r="M959" s="52">
        <v>10711</v>
      </c>
    </row>
    <row r="960" spans="2:13" ht="15" customHeight="1" x14ac:dyDescent="0.3">
      <c r="B960" s="135">
        <v>11</v>
      </c>
      <c r="E960" s="151">
        <v>1</v>
      </c>
      <c r="F960" s="152" t="s">
        <v>354</v>
      </c>
      <c r="G960" s="152" t="s">
        <v>255</v>
      </c>
      <c r="H960" s="153">
        <v>187.27</v>
      </c>
      <c r="I960" s="153">
        <v>0</v>
      </c>
      <c r="J960" s="154">
        <f t="shared" si="34"/>
        <v>187.27</v>
      </c>
      <c r="M960" s="52">
        <v>10712</v>
      </c>
    </row>
    <row r="961" spans="2:13" ht="15" customHeight="1" x14ac:dyDescent="0.3">
      <c r="B961" s="135">
        <v>11</v>
      </c>
      <c r="E961" s="151">
        <v>1</v>
      </c>
      <c r="F961" s="152" t="s">
        <v>254</v>
      </c>
      <c r="G961" s="152" t="s">
        <v>278</v>
      </c>
      <c r="H961" s="153">
        <v>1500</v>
      </c>
      <c r="I961" s="153">
        <v>0</v>
      </c>
      <c r="J961" s="154">
        <f t="shared" si="34"/>
        <v>1500</v>
      </c>
      <c r="M961" s="52">
        <v>10663</v>
      </c>
    </row>
    <row r="962" spans="2:13" ht="15" customHeight="1" x14ac:dyDescent="0.3">
      <c r="B962" s="135">
        <v>11</v>
      </c>
      <c r="E962" s="151">
        <v>1</v>
      </c>
      <c r="F962" s="152" t="s">
        <v>254</v>
      </c>
      <c r="G962" s="152" t="s">
        <v>278</v>
      </c>
      <c r="H962" s="153">
        <v>1500</v>
      </c>
      <c r="I962" s="153">
        <v>0</v>
      </c>
      <c r="J962" s="154">
        <f t="shared" si="34"/>
        <v>1500</v>
      </c>
      <c r="M962" s="52">
        <v>10664</v>
      </c>
    </row>
    <row r="963" spans="2:13" ht="15" customHeight="1" x14ac:dyDescent="0.3">
      <c r="B963" s="135">
        <v>11</v>
      </c>
      <c r="E963" s="151">
        <v>1</v>
      </c>
      <c r="F963" s="152" t="s">
        <v>247</v>
      </c>
      <c r="G963" s="152" t="s">
        <v>582</v>
      </c>
      <c r="H963" s="153">
        <v>124.6</v>
      </c>
      <c r="I963" s="153">
        <v>0</v>
      </c>
      <c r="J963" s="154">
        <f t="shared" si="34"/>
        <v>124.6</v>
      </c>
      <c r="M963" s="52">
        <v>10570</v>
      </c>
    </row>
    <row r="964" spans="2:13" ht="15" customHeight="1" x14ac:dyDescent="0.3">
      <c r="B964" s="135">
        <v>11</v>
      </c>
      <c r="E964" s="151">
        <v>1</v>
      </c>
      <c r="F964" s="152" t="s">
        <v>305</v>
      </c>
      <c r="G964" s="152" t="s">
        <v>363</v>
      </c>
      <c r="H964" s="153">
        <v>330</v>
      </c>
      <c r="I964" s="153">
        <v>0</v>
      </c>
      <c r="J964" s="154">
        <f t="shared" si="34"/>
        <v>330</v>
      </c>
      <c r="M964" s="52">
        <v>10714</v>
      </c>
    </row>
    <row r="965" spans="2:13" ht="15" customHeight="1" x14ac:dyDescent="0.3">
      <c r="B965" s="135">
        <v>11</v>
      </c>
      <c r="E965" s="151">
        <v>1</v>
      </c>
      <c r="F965" s="152" t="s">
        <v>579</v>
      </c>
      <c r="G965" s="152" t="s">
        <v>580</v>
      </c>
      <c r="H965" s="153">
        <v>312.20999999999998</v>
      </c>
      <c r="I965" s="153">
        <v>0</v>
      </c>
      <c r="J965" s="154">
        <f t="shared" si="34"/>
        <v>312.20999999999998</v>
      </c>
      <c r="M965" s="52">
        <v>10715</v>
      </c>
    </row>
    <row r="966" spans="2:13" ht="15" customHeight="1" x14ac:dyDescent="0.3">
      <c r="B966" s="135">
        <v>11</v>
      </c>
      <c r="E966" s="151">
        <v>1</v>
      </c>
      <c r="F966" s="152" t="s">
        <v>583</v>
      </c>
      <c r="G966" s="152" t="s">
        <v>584</v>
      </c>
      <c r="H966" s="153">
        <v>1035.1400000000001</v>
      </c>
      <c r="I966" s="153">
        <v>0</v>
      </c>
      <c r="J966" s="154">
        <f t="shared" si="34"/>
        <v>1035.1400000000001</v>
      </c>
      <c r="M966" s="52" t="s">
        <v>575</v>
      </c>
    </row>
    <row r="967" spans="2:13" ht="15" customHeight="1" x14ac:dyDescent="0.3">
      <c r="B967" s="135">
        <v>11</v>
      </c>
      <c r="E967" s="151">
        <v>1</v>
      </c>
      <c r="F967" s="152" t="s">
        <v>583</v>
      </c>
      <c r="G967" s="152" t="s">
        <v>584</v>
      </c>
      <c r="H967" s="153">
        <v>665.18</v>
      </c>
      <c r="I967" s="153">
        <v>0</v>
      </c>
      <c r="J967" s="154">
        <f t="shared" si="34"/>
        <v>665.18</v>
      </c>
      <c r="M967" s="52" t="s">
        <v>575</v>
      </c>
    </row>
    <row r="968" spans="2:13" ht="15" customHeight="1" x14ac:dyDescent="0.3">
      <c r="B968" s="135">
        <v>11</v>
      </c>
      <c r="E968" s="151">
        <v>1</v>
      </c>
      <c r="F968" s="152" t="s">
        <v>583</v>
      </c>
      <c r="G968" s="152" t="s">
        <v>584</v>
      </c>
      <c r="H968" s="153">
        <v>302.35000000000002</v>
      </c>
      <c r="I968" s="153">
        <v>0</v>
      </c>
      <c r="J968" s="154">
        <f t="shared" si="34"/>
        <v>302.35000000000002</v>
      </c>
      <c r="M968" s="52" t="s">
        <v>575</v>
      </c>
    </row>
    <row r="969" spans="2:13" ht="15" customHeight="1" x14ac:dyDescent="0.3">
      <c r="B969" s="135">
        <v>11</v>
      </c>
      <c r="E969" s="151">
        <v>1</v>
      </c>
      <c r="F969" s="152" t="s">
        <v>583</v>
      </c>
      <c r="G969" s="152" t="s">
        <v>584</v>
      </c>
      <c r="H969" s="153">
        <v>302.35000000000002</v>
      </c>
      <c r="I969" s="153">
        <v>0</v>
      </c>
      <c r="J969" s="154">
        <f t="shared" si="34"/>
        <v>302.35000000000002</v>
      </c>
      <c r="M969" s="52" t="s">
        <v>575</v>
      </c>
    </row>
    <row r="970" spans="2:13" ht="15" customHeight="1" x14ac:dyDescent="0.3">
      <c r="B970" s="135">
        <v>11</v>
      </c>
      <c r="E970" s="151">
        <v>1</v>
      </c>
      <c r="F970" s="152" t="s">
        <v>583</v>
      </c>
      <c r="G970" s="152" t="s">
        <v>584</v>
      </c>
      <c r="H970" s="153">
        <v>332.59</v>
      </c>
      <c r="I970" s="153">
        <v>0</v>
      </c>
      <c r="J970" s="154">
        <f t="shared" si="34"/>
        <v>332.59</v>
      </c>
      <c r="M970" s="52" t="s">
        <v>575</v>
      </c>
    </row>
    <row r="971" spans="2:13" ht="15" customHeight="1" x14ac:dyDescent="0.3">
      <c r="B971" s="135">
        <v>11</v>
      </c>
      <c r="E971" s="151">
        <v>1</v>
      </c>
      <c r="F971" s="152" t="s">
        <v>585</v>
      </c>
      <c r="G971" s="152" t="s">
        <v>586</v>
      </c>
      <c r="H971" s="153">
        <v>1212.8</v>
      </c>
      <c r="I971" s="153">
        <v>0</v>
      </c>
      <c r="J971" s="154">
        <f t="shared" si="34"/>
        <v>1212.8</v>
      </c>
      <c r="M971" s="52" t="s">
        <v>535</v>
      </c>
    </row>
    <row r="972" spans="2:13" ht="15" customHeight="1" x14ac:dyDescent="0.3">
      <c r="B972" s="135">
        <v>11</v>
      </c>
      <c r="E972" s="151">
        <v>1</v>
      </c>
      <c r="F972" s="152" t="s">
        <v>587</v>
      </c>
      <c r="G972" s="152" t="s">
        <v>588</v>
      </c>
      <c r="H972" s="153">
        <v>112.82</v>
      </c>
      <c r="I972" s="153">
        <v>0</v>
      </c>
      <c r="J972" s="154">
        <f t="shared" si="34"/>
        <v>112.82</v>
      </c>
      <c r="M972" s="52" t="s">
        <v>535</v>
      </c>
    </row>
    <row r="973" spans="2:13" ht="15" customHeight="1" x14ac:dyDescent="0.3">
      <c r="B973" s="135">
        <v>11</v>
      </c>
      <c r="E973" s="151">
        <v>1</v>
      </c>
      <c r="F973" s="152" t="s">
        <v>589</v>
      </c>
      <c r="G973" s="152" t="s">
        <v>590</v>
      </c>
      <c r="H973" s="153">
        <v>1674.52</v>
      </c>
      <c r="I973" s="153">
        <v>0</v>
      </c>
      <c r="J973" s="154">
        <f t="shared" si="34"/>
        <v>1674.52</v>
      </c>
      <c r="M973" s="52" t="s">
        <v>535</v>
      </c>
    </row>
    <row r="974" spans="2:13" ht="15" customHeight="1" x14ac:dyDescent="0.3">
      <c r="B974" s="135">
        <v>11</v>
      </c>
      <c r="E974" s="151">
        <v>1</v>
      </c>
      <c r="F974" s="152" t="s">
        <v>591</v>
      </c>
      <c r="G974" s="152" t="s">
        <v>592</v>
      </c>
      <c r="H974" s="153">
        <v>699</v>
      </c>
      <c r="I974" s="153">
        <v>0</v>
      </c>
      <c r="J974" s="154">
        <f t="shared" si="34"/>
        <v>699</v>
      </c>
      <c r="M974" s="52" t="s">
        <v>535</v>
      </c>
    </row>
    <row r="975" spans="2:13" ht="15" customHeight="1" x14ac:dyDescent="0.3">
      <c r="B975" s="135">
        <v>11</v>
      </c>
      <c r="E975" s="151">
        <v>1</v>
      </c>
      <c r="F975" s="152" t="s">
        <v>243</v>
      </c>
      <c r="G975" s="152" t="s">
        <v>239</v>
      </c>
      <c r="H975" s="153">
        <v>200.29</v>
      </c>
      <c r="I975" s="153">
        <v>0</v>
      </c>
      <c r="J975" s="154">
        <f t="shared" si="34"/>
        <v>200.29</v>
      </c>
      <c r="M975" s="52" t="s">
        <v>535</v>
      </c>
    </row>
    <row r="976" spans="2:13" ht="15" customHeight="1" x14ac:dyDescent="0.3">
      <c r="B976" s="135">
        <v>11</v>
      </c>
      <c r="E976" s="151">
        <v>1</v>
      </c>
      <c r="F976" s="152" t="s">
        <v>593</v>
      </c>
      <c r="G976" s="152" t="s">
        <v>594</v>
      </c>
      <c r="H976" s="153">
        <v>1427.16</v>
      </c>
      <c r="I976" s="153">
        <v>0</v>
      </c>
      <c r="J976" s="154">
        <f t="shared" si="34"/>
        <v>1427.16</v>
      </c>
      <c r="M976" s="52" t="s">
        <v>535</v>
      </c>
    </row>
    <row r="977" spans="2:13" ht="15" customHeight="1" x14ac:dyDescent="0.3">
      <c r="B977" s="135">
        <v>11</v>
      </c>
      <c r="E977" s="151">
        <v>2</v>
      </c>
      <c r="F977" s="152" t="s">
        <v>595</v>
      </c>
      <c r="G977" s="152" t="s">
        <v>596</v>
      </c>
      <c r="H977" s="153">
        <v>255.23</v>
      </c>
      <c r="I977" s="153">
        <v>0</v>
      </c>
      <c r="J977" s="154">
        <f t="shared" si="34"/>
        <v>255.23</v>
      </c>
      <c r="M977" s="52">
        <v>10628</v>
      </c>
    </row>
    <row r="978" spans="2:13" ht="15" customHeight="1" x14ac:dyDescent="0.3">
      <c r="B978" s="135">
        <v>11</v>
      </c>
      <c r="E978" s="151">
        <v>2</v>
      </c>
      <c r="F978" s="152" t="s">
        <v>430</v>
      </c>
      <c r="G978" s="152" t="s">
        <v>431</v>
      </c>
      <c r="H978" s="153">
        <v>321.36</v>
      </c>
      <c r="I978" s="153">
        <v>0</v>
      </c>
      <c r="J978" s="154">
        <f t="shared" si="34"/>
        <v>321.36</v>
      </c>
      <c r="M978" s="52">
        <v>10669</v>
      </c>
    </row>
    <row r="979" spans="2:13" ht="15" customHeight="1" x14ac:dyDescent="0.3">
      <c r="B979" s="135">
        <v>11</v>
      </c>
      <c r="E979" s="151">
        <v>2</v>
      </c>
      <c r="F979" s="152" t="s">
        <v>430</v>
      </c>
      <c r="G979" s="152" t="s">
        <v>431</v>
      </c>
      <c r="H979" s="153">
        <v>246.31</v>
      </c>
      <c r="I979" s="153">
        <v>0</v>
      </c>
      <c r="J979" s="154">
        <f t="shared" si="34"/>
        <v>246.31</v>
      </c>
      <c r="M979" s="52">
        <v>10639</v>
      </c>
    </row>
    <row r="980" spans="2:13" ht="15" customHeight="1" x14ac:dyDescent="0.3">
      <c r="B980" s="135">
        <v>11</v>
      </c>
      <c r="E980" s="151">
        <v>3</v>
      </c>
      <c r="F980" s="152" t="s">
        <v>597</v>
      </c>
      <c r="G980" s="152" t="s">
        <v>2</v>
      </c>
      <c r="H980" s="153">
        <v>1400</v>
      </c>
      <c r="I980" s="153">
        <v>0</v>
      </c>
      <c r="J980" s="154">
        <f t="shared" si="34"/>
        <v>1400</v>
      </c>
      <c r="M980" s="52">
        <v>10668</v>
      </c>
    </row>
    <row r="981" spans="2:13" ht="15" customHeight="1" x14ac:dyDescent="0.3">
      <c r="B981" s="135">
        <v>11</v>
      </c>
      <c r="E981" s="151">
        <v>6</v>
      </c>
      <c r="F981" s="152" t="s">
        <v>264</v>
      </c>
      <c r="G981" s="152" t="s">
        <v>598</v>
      </c>
      <c r="H981" s="153">
        <v>43.75</v>
      </c>
      <c r="I981" s="153">
        <v>0</v>
      </c>
      <c r="J981" s="154">
        <f t="shared" si="34"/>
        <v>43.75</v>
      </c>
      <c r="M981" s="52">
        <v>10689</v>
      </c>
    </row>
    <row r="982" spans="2:13" ht="15" customHeight="1" x14ac:dyDescent="0.3">
      <c r="B982" s="135">
        <v>11</v>
      </c>
      <c r="E982" s="151">
        <v>6</v>
      </c>
      <c r="F982" s="152" t="s">
        <v>264</v>
      </c>
      <c r="G982" s="152" t="s">
        <v>599</v>
      </c>
      <c r="H982" s="153">
        <v>3604.86</v>
      </c>
      <c r="I982" s="153">
        <v>0</v>
      </c>
      <c r="J982" s="154">
        <f t="shared" si="34"/>
        <v>3604.86</v>
      </c>
      <c r="M982" s="52">
        <v>10690</v>
      </c>
    </row>
    <row r="983" spans="2:13" ht="15" customHeight="1" x14ac:dyDescent="0.3">
      <c r="B983" s="135">
        <v>11</v>
      </c>
      <c r="E983" s="151">
        <v>6</v>
      </c>
      <c r="F983" s="152" t="s">
        <v>264</v>
      </c>
      <c r="G983" s="152" t="s">
        <v>599</v>
      </c>
      <c r="H983" s="153">
        <v>4059.6</v>
      </c>
      <c r="I983" s="153">
        <v>0</v>
      </c>
      <c r="J983" s="154">
        <f t="shared" si="34"/>
        <v>4059.6</v>
      </c>
      <c r="M983" s="52">
        <v>10683</v>
      </c>
    </row>
    <row r="984" spans="2:13" ht="15" customHeight="1" x14ac:dyDescent="0.3">
      <c r="B984" s="135">
        <v>11</v>
      </c>
      <c r="E984" s="151">
        <v>6</v>
      </c>
      <c r="F984" s="152" t="s">
        <v>264</v>
      </c>
      <c r="G984" s="152" t="s">
        <v>600</v>
      </c>
      <c r="H984" s="153">
        <v>315.58</v>
      </c>
      <c r="I984" s="153">
        <v>0</v>
      </c>
      <c r="J984" s="154">
        <f t="shared" si="34"/>
        <v>315.58</v>
      </c>
      <c r="M984" s="52">
        <v>10684</v>
      </c>
    </row>
    <row r="985" spans="2:13" ht="15" customHeight="1" x14ac:dyDescent="0.3">
      <c r="B985" s="135">
        <v>11</v>
      </c>
      <c r="E985" s="151">
        <v>6</v>
      </c>
      <c r="F985" s="152" t="s">
        <v>264</v>
      </c>
      <c r="G985" s="152" t="s">
        <v>601</v>
      </c>
      <c r="H985" s="153">
        <v>4367.9399999999996</v>
      </c>
      <c r="I985" s="153">
        <v>0</v>
      </c>
      <c r="J985" s="154">
        <f t="shared" si="34"/>
        <v>4367.9399999999996</v>
      </c>
      <c r="M985" s="52">
        <v>10685</v>
      </c>
    </row>
    <row r="986" spans="2:13" ht="15" customHeight="1" x14ac:dyDescent="0.3">
      <c r="B986" s="135">
        <v>11</v>
      </c>
      <c r="E986" s="151">
        <v>6</v>
      </c>
      <c r="F986" s="152" t="s">
        <v>264</v>
      </c>
      <c r="G986" s="152" t="s">
        <v>598</v>
      </c>
      <c r="H986" s="153">
        <v>291.41000000000003</v>
      </c>
      <c r="I986" s="153">
        <v>0</v>
      </c>
      <c r="J986" s="154">
        <f t="shared" si="34"/>
        <v>291.41000000000003</v>
      </c>
      <c r="M986" s="52">
        <v>10686</v>
      </c>
    </row>
    <row r="987" spans="2:13" ht="15" customHeight="1" x14ac:dyDescent="0.3">
      <c r="B987" s="135">
        <v>11</v>
      </c>
      <c r="E987" s="151">
        <v>6</v>
      </c>
      <c r="F987" s="152" t="s">
        <v>264</v>
      </c>
      <c r="G987" s="152" t="s">
        <v>599</v>
      </c>
      <c r="H987" s="153">
        <v>2151.4</v>
      </c>
      <c r="I987" s="153">
        <v>0</v>
      </c>
      <c r="J987" s="154">
        <f t="shared" si="34"/>
        <v>2151.4</v>
      </c>
      <c r="M987" s="52">
        <v>10687</v>
      </c>
    </row>
    <row r="988" spans="2:13" ht="15" customHeight="1" x14ac:dyDescent="0.3">
      <c r="B988" s="135">
        <v>11</v>
      </c>
      <c r="E988" s="151">
        <v>6</v>
      </c>
      <c r="F988" s="152" t="s">
        <v>264</v>
      </c>
      <c r="G988" s="152" t="s">
        <v>602</v>
      </c>
      <c r="H988" s="153">
        <v>3064.86</v>
      </c>
      <c r="I988" s="153">
        <v>0</v>
      </c>
      <c r="J988" s="154">
        <f t="shared" si="34"/>
        <v>3064.86</v>
      </c>
      <c r="M988" s="52">
        <v>10623</v>
      </c>
    </row>
    <row r="989" spans="2:13" ht="15" customHeight="1" x14ac:dyDescent="0.3">
      <c r="B989" s="135">
        <v>11</v>
      </c>
      <c r="E989" s="151">
        <v>6</v>
      </c>
      <c r="F989" s="152" t="s">
        <v>264</v>
      </c>
      <c r="G989" s="152" t="s">
        <v>603</v>
      </c>
      <c r="H989" s="153">
        <v>903.62</v>
      </c>
      <c r="I989" s="153">
        <v>0</v>
      </c>
      <c r="J989" s="154">
        <f t="shared" si="34"/>
        <v>903.62</v>
      </c>
      <c r="M989" s="52">
        <v>10624</v>
      </c>
    </row>
    <row r="990" spans="2:13" ht="15" customHeight="1" x14ac:dyDescent="0.3">
      <c r="B990" s="135">
        <v>11</v>
      </c>
      <c r="E990" s="151">
        <v>6</v>
      </c>
      <c r="F990" s="152" t="s">
        <v>264</v>
      </c>
      <c r="G990" s="152" t="s">
        <v>599</v>
      </c>
      <c r="H990" s="153">
        <v>243.13</v>
      </c>
      <c r="I990" s="153">
        <v>0</v>
      </c>
      <c r="J990" s="154">
        <f t="shared" si="34"/>
        <v>243.13</v>
      </c>
      <c r="M990" s="52">
        <v>10626</v>
      </c>
    </row>
    <row r="991" spans="2:13" ht="15" customHeight="1" x14ac:dyDescent="0.3">
      <c r="B991" s="135">
        <v>11</v>
      </c>
      <c r="E991" s="151">
        <v>6</v>
      </c>
      <c r="F991" s="152" t="s">
        <v>253</v>
      </c>
      <c r="G991" s="152" t="s">
        <v>604</v>
      </c>
      <c r="H991" s="153">
        <v>1700</v>
      </c>
      <c r="I991" s="153">
        <v>170</v>
      </c>
      <c r="J991" s="154">
        <f t="shared" si="34"/>
        <v>1530</v>
      </c>
      <c r="M991" s="52">
        <v>10665</v>
      </c>
    </row>
    <row r="992" spans="2:13" ht="15" customHeight="1" x14ac:dyDescent="0.3">
      <c r="B992" s="135">
        <v>11</v>
      </c>
      <c r="E992" s="151">
        <v>6</v>
      </c>
      <c r="F992" s="152" t="s">
        <v>264</v>
      </c>
      <c r="G992" s="152" t="s">
        <v>605</v>
      </c>
      <c r="H992" s="153">
        <v>350</v>
      </c>
      <c r="I992" s="153">
        <v>0</v>
      </c>
      <c r="J992" s="154">
        <f t="shared" si="34"/>
        <v>350</v>
      </c>
      <c r="M992" s="52">
        <v>10667</v>
      </c>
    </row>
    <row r="993" spans="2:13" ht="15" customHeight="1" x14ac:dyDescent="0.3">
      <c r="B993" s="135">
        <v>11</v>
      </c>
      <c r="E993" s="151">
        <v>6</v>
      </c>
      <c r="F993" s="152" t="s">
        <v>264</v>
      </c>
      <c r="G993" s="152" t="s">
        <v>461</v>
      </c>
      <c r="H993" s="153">
        <v>440.36</v>
      </c>
      <c r="I993" s="153">
        <v>0</v>
      </c>
      <c r="J993" s="154">
        <f t="shared" si="34"/>
        <v>440.36</v>
      </c>
      <c r="M993" s="52">
        <v>10654</v>
      </c>
    </row>
    <row r="994" spans="2:13" ht="15" customHeight="1" x14ac:dyDescent="0.3">
      <c r="B994" s="135">
        <v>11</v>
      </c>
      <c r="E994" s="151">
        <v>6</v>
      </c>
      <c r="F994" s="152" t="s">
        <v>264</v>
      </c>
      <c r="G994" s="152" t="s">
        <v>606</v>
      </c>
      <c r="H994" s="153">
        <v>133.36000000000001</v>
      </c>
      <c r="I994" s="153">
        <v>0</v>
      </c>
      <c r="J994" s="154">
        <f t="shared" ref="J994:J1038" si="35">H994-I994</f>
        <v>133.36000000000001</v>
      </c>
      <c r="M994" s="52">
        <v>10656</v>
      </c>
    </row>
    <row r="995" spans="2:13" ht="15" customHeight="1" x14ac:dyDescent="0.3">
      <c r="B995" s="135">
        <v>11</v>
      </c>
      <c r="E995" s="151">
        <v>6</v>
      </c>
      <c r="F995" s="152" t="s">
        <v>264</v>
      </c>
      <c r="G995" s="152" t="s">
        <v>461</v>
      </c>
      <c r="H995" s="153">
        <v>440.36</v>
      </c>
      <c r="I995" s="153">
        <v>0</v>
      </c>
      <c r="J995" s="154">
        <f t="shared" si="35"/>
        <v>440.36</v>
      </c>
      <c r="M995" s="52">
        <v>10655</v>
      </c>
    </row>
    <row r="996" spans="2:13" ht="15" customHeight="1" x14ac:dyDescent="0.3">
      <c r="B996" s="135">
        <v>11</v>
      </c>
      <c r="E996" s="151">
        <v>6</v>
      </c>
      <c r="F996" s="152" t="s">
        <v>607</v>
      </c>
      <c r="G996" s="152" t="s">
        <v>608</v>
      </c>
      <c r="H996" s="153">
        <v>3000</v>
      </c>
      <c r="I996" s="153">
        <v>0</v>
      </c>
      <c r="J996" s="154">
        <f t="shared" si="35"/>
        <v>3000</v>
      </c>
      <c r="M996" s="52">
        <v>10680</v>
      </c>
    </row>
    <row r="997" spans="2:13" ht="15" customHeight="1" x14ac:dyDescent="0.3">
      <c r="B997" s="135">
        <v>11</v>
      </c>
      <c r="E997" s="151">
        <v>6</v>
      </c>
      <c r="F997" s="152" t="s">
        <v>264</v>
      </c>
      <c r="G997" s="152" t="s">
        <v>609</v>
      </c>
      <c r="H997" s="153">
        <v>1047.9000000000001</v>
      </c>
      <c r="I997" s="153">
        <v>0</v>
      </c>
      <c r="J997" s="154">
        <f t="shared" si="35"/>
        <v>1047.9000000000001</v>
      </c>
      <c r="M997" s="52">
        <v>10569</v>
      </c>
    </row>
    <row r="998" spans="2:13" ht="15" customHeight="1" x14ac:dyDescent="0.3">
      <c r="B998" s="135">
        <v>11</v>
      </c>
      <c r="E998" s="151">
        <v>6</v>
      </c>
      <c r="F998" s="152" t="s">
        <v>264</v>
      </c>
      <c r="G998" s="152" t="s">
        <v>610</v>
      </c>
      <c r="H998" s="153">
        <v>2576.56</v>
      </c>
      <c r="I998" s="153">
        <v>0</v>
      </c>
      <c r="J998" s="154">
        <f t="shared" si="35"/>
        <v>2576.56</v>
      </c>
      <c r="M998" s="52">
        <v>10688</v>
      </c>
    </row>
    <row r="999" spans="2:13" ht="15" customHeight="1" x14ac:dyDescent="0.3">
      <c r="B999" s="135">
        <v>11</v>
      </c>
      <c r="E999" s="151">
        <v>6</v>
      </c>
      <c r="F999" s="152" t="s">
        <v>264</v>
      </c>
      <c r="G999" s="152" t="s">
        <v>611</v>
      </c>
      <c r="H999" s="153">
        <v>-1389.44</v>
      </c>
      <c r="I999" s="153">
        <v>0</v>
      </c>
      <c r="J999" s="154">
        <f t="shared" si="35"/>
        <v>-1389.44</v>
      </c>
      <c r="M999" s="52">
        <v>10688</v>
      </c>
    </row>
    <row r="1000" spans="2:13" ht="15" customHeight="1" x14ac:dyDescent="0.3">
      <c r="B1000" s="135">
        <v>11</v>
      </c>
      <c r="E1000" s="151">
        <v>6</v>
      </c>
      <c r="F1000" s="152" t="s">
        <v>253</v>
      </c>
      <c r="G1000" s="152" t="s">
        <v>612</v>
      </c>
      <c r="H1000" s="153">
        <v>3508</v>
      </c>
      <c r="I1000" s="153">
        <v>350.98</v>
      </c>
      <c r="J1000" s="154">
        <f t="shared" si="35"/>
        <v>3157.02</v>
      </c>
      <c r="M1000" s="52">
        <v>10666</v>
      </c>
    </row>
    <row r="1001" spans="2:13" ht="15" customHeight="1" x14ac:dyDescent="0.3">
      <c r="B1001" s="135">
        <v>11</v>
      </c>
      <c r="E1001" s="151">
        <v>6</v>
      </c>
      <c r="F1001" s="152" t="s">
        <v>264</v>
      </c>
      <c r="G1001" s="152" t="s">
        <v>384</v>
      </c>
      <c r="H1001" s="153">
        <v>1360.11</v>
      </c>
      <c r="I1001" s="153">
        <v>0</v>
      </c>
      <c r="J1001" s="154">
        <f t="shared" si="35"/>
        <v>1360.11</v>
      </c>
      <c r="M1001" s="52">
        <v>10713</v>
      </c>
    </row>
    <row r="1002" spans="2:13" ht="15" customHeight="1" x14ac:dyDescent="0.3">
      <c r="B1002" s="135">
        <v>11</v>
      </c>
      <c r="E1002" s="151">
        <v>6</v>
      </c>
      <c r="F1002" s="152" t="s">
        <v>264</v>
      </c>
      <c r="G1002" s="152" t="s">
        <v>384</v>
      </c>
      <c r="H1002" s="153">
        <v>-1360.11</v>
      </c>
      <c r="I1002" s="153">
        <v>0</v>
      </c>
      <c r="J1002" s="154">
        <f t="shared" si="35"/>
        <v>-1360.11</v>
      </c>
      <c r="M1002" s="52">
        <v>10713</v>
      </c>
    </row>
    <row r="1003" spans="2:13" ht="15" customHeight="1" x14ac:dyDescent="0.3">
      <c r="B1003" s="135">
        <v>11</v>
      </c>
      <c r="E1003" s="151">
        <v>6</v>
      </c>
      <c r="F1003" s="152" t="s">
        <v>264</v>
      </c>
      <c r="G1003" s="152" t="s">
        <v>384</v>
      </c>
      <c r="H1003" s="153">
        <v>1360.11</v>
      </c>
      <c r="I1003" s="153">
        <v>0</v>
      </c>
      <c r="J1003" s="154">
        <f t="shared" si="35"/>
        <v>1360.11</v>
      </c>
      <c r="M1003" s="52">
        <v>10713</v>
      </c>
    </row>
    <row r="1004" spans="2:13" ht="15" customHeight="1" x14ac:dyDescent="0.3">
      <c r="B1004" s="135">
        <v>11</v>
      </c>
      <c r="E1004" s="151">
        <v>6</v>
      </c>
      <c r="F1004" s="152" t="s">
        <v>264</v>
      </c>
      <c r="G1004" s="152" t="s">
        <v>613</v>
      </c>
      <c r="H1004" s="153">
        <v>2379.3000000000002</v>
      </c>
      <c r="I1004" s="153">
        <v>0</v>
      </c>
      <c r="J1004" s="154">
        <f t="shared" si="35"/>
        <v>2379.3000000000002</v>
      </c>
      <c r="M1004" s="52">
        <v>10725</v>
      </c>
    </row>
    <row r="1005" spans="2:13" ht="15" customHeight="1" x14ac:dyDescent="0.3">
      <c r="B1005" s="135">
        <v>11</v>
      </c>
      <c r="E1005" s="151">
        <v>7</v>
      </c>
      <c r="F1005" s="152" t="s">
        <v>509</v>
      </c>
      <c r="G1005" s="152" t="s">
        <v>614</v>
      </c>
      <c r="H1005" s="153">
        <v>-0.01</v>
      </c>
      <c r="I1005" s="153">
        <v>0</v>
      </c>
      <c r="J1005" s="154">
        <f t="shared" si="35"/>
        <v>-0.01</v>
      </c>
      <c r="M1005" s="52">
        <v>10717</v>
      </c>
    </row>
    <row r="1006" spans="2:13" ht="15" customHeight="1" x14ac:dyDescent="0.3">
      <c r="B1006" s="135">
        <v>11</v>
      </c>
      <c r="E1006" s="151">
        <v>7</v>
      </c>
      <c r="F1006" s="152" t="s">
        <v>509</v>
      </c>
      <c r="G1006" s="152" t="s">
        <v>614</v>
      </c>
      <c r="H1006" s="153">
        <v>1103.07</v>
      </c>
      <c r="I1006" s="153">
        <v>0</v>
      </c>
      <c r="J1006" s="154">
        <f t="shared" si="35"/>
        <v>1103.07</v>
      </c>
      <c r="M1006" s="52">
        <v>10716</v>
      </c>
    </row>
    <row r="1007" spans="2:13" ht="15" customHeight="1" x14ac:dyDescent="0.3">
      <c r="B1007" s="135">
        <v>11</v>
      </c>
      <c r="E1007" s="151">
        <v>7</v>
      </c>
      <c r="F1007" s="152" t="s">
        <v>509</v>
      </c>
      <c r="G1007" s="152" t="s">
        <v>615</v>
      </c>
      <c r="H1007" s="153">
        <v>3478.07</v>
      </c>
      <c r="I1007" s="153">
        <v>0</v>
      </c>
      <c r="J1007" s="154">
        <f t="shared" si="35"/>
        <v>3478.07</v>
      </c>
      <c r="M1007" s="52">
        <v>10724</v>
      </c>
    </row>
    <row r="1008" spans="2:13" ht="15" customHeight="1" x14ac:dyDescent="0.3">
      <c r="B1008" s="135">
        <v>11</v>
      </c>
      <c r="E1008" s="151">
        <v>10</v>
      </c>
      <c r="F1008" s="152" t="s">
        <v>616</v>
      </c>
      <c r="G1008" s="152" t="s">
        <v>617</v>
      </c>
      <c r="H1008" s="153">
        <v>18423.789999999997</v>
      </c>
      <c r="I1008" s="153">
        <v>0</v>
      </c>
      <c r="J1008" s="154">
        <f t="shared" si="35"/>
        <v>18423.789999999997</v>
      </c>
      <c r="M1008" s="52">
        <v>10679</v>
      </c>
    </row>
    <row r="1009" spans="2:13" ht="15" customHeight="1" x14ac:dyDescent="0.3">
      <c r="B1009" s="135">
        <v>11</v>
      </c>
      <c r="E1009" s="151">
        <v>10</v>
      </c>
      <c r="F1009" s="152" t="s">
        <v>618</v>
      </c>
      <c r="G1009" s="152" t="s">
        <v>617</v>
      </c>
      <c r="H1009" s="153">
        <v>2009.89</v>
      </c>
      <c r="I1009" s="153">
        <v>0</v>
      </c>
      <c r="J1009" s="154">
        <f t="shared" si="35"/>
        <v>2009.89</v>
      </c>
      <c r="M1009" s="52">
        <v>10679</v>
      </c>
    </row>
    <row r="1010" spans="2:13" ht="15" customHeight="1" x14ac:dyDescent="0.3">
      <c r="B1010" s="135">
        <v>11</v>
      </c>
      <c r="E1010" s="151">
        <v>11</v>
      </c>
      <c r="F1010" s="152" t="s">
        <v>619</v>
      </c>
      <c r="G1010" s="152" t="s">
        <v>617</v>
      </c>
      <c r="H1010" s="153">
        <v>2428.92</v>
      </c>
      <c r="I1010" s="153">
        <v>0</v>
      </c>
      <c r="J1010" s="154">
        <f t="shared" si="35"/>
        <v>2428.92</v>
      </c>
      <c r="M1010" s="52">
        <v>10679</v>
      </c>
    </row>
    <row r="1011" spans="2:13" ht="15" customHeight="1" x14ac:dyDescent="0.3">
      <c r="B1011" s="135">
        <v>11</v>
      </c>
      <c r="E1011" s="151">
        <v>11</v>
      </c>
      <c r="F1011" s="152" t="s">
        <v>620</v>
      </c>
      <c r="G1011" s="152" t="s">
        <v>617</v>
      </c>
      <c r="H1011" s="153">
        <v>7859.16</v>
      </c>
      <c r="I1011" s="153">
        <v>0</v>
      </c>
      <c r="J1011" s="154">
        <f t="shared" si="35"/>
        <v>7859.16</v>
      </c>
      <c r="M1011" s="52">
        <v>10679</v>
      </c>
    </row>
    <row r="1012" spans="2:13" ht="15" customHeight="1" x14ac:dyDescent="0.3">
      <c r="B1012" s="135">
        <v>11</v>
      </c>
      <c r="E1012" s="151">
        <v>16</v>
      </c>
      <c r="F1012" s="152" t="s">
        <v>621</v>
      </c>
      <c r="G1012" s="152" t="s">
        <v>622</v>
      </c>
      <c r="H1012" s="153">
        <v>703.63</v>
      </c>
      <c r="I1012" s="153">
        <v>0</v>
      </c>
      <c r="J1012" s="154">
        <f t="shared" si="35"/>
        <v>703.63</v>
      </c>
      <c r="M1012" s="52">
        <v>10657</v>
      </c>
    </row>
    <row r="1013" spans="2:13" ht="15" customHeight="1" x14ac:dyDescent="0.3">
      <c r="B1013" s="135">
        <v>11</v>
      </c>
      <c r="E1013" s="151">
        <v>16</v>
      </c>
      <c r="F1013" s="152" t="s">
        <v>275</v>
      </c>
      <c r="G1013" s="152" t="s">
        <v>623</v>
      </c>
      <c r="H1013" s="153">
        <v>554.78</v>
      </c>
      <c r="I1013" s="153">
        <v>0</v>
      </c>
      <c r="J1013" s="154">
        <f t="shared" si="35"/>
        <v>554.78</v>
      </c>
      <c r="M1013" s="52">
        <v>10642</v>
      </c>
    </row>
    <row r="1014" spans="2:13" ht="15" customHeight="1" x14ac:dyDescent="0.3">
      <c r="B1014" s="135">
        <v>11</v>
      </c>
      <c r="E1014" s="151">
        <v>16</v>
      </c>
      <c r="F1014" s="152" t="s">
        <v>275</v>
      </c>
      <c r="G1014" s="152" t="s">
        <v>623</v>
      </c>
      <c r="H1014" s="153">
        <v>39.08</v>
      </c>
      <c r="I1014" s="153">
        <v>0</v>
      </c>
      <c r="J1014" s="154">
        <f t="shared" si="35"/>
        <v>39.08</v>
      </c>
      <c r="M1014" s="52">
        <v>10650</v>
      </c>
    </row>
    <row r="1015" spans="2:13" ht="15" customHeight="1" x14ac:dyDescent="0.3">
      <c r="B1015" s="135">
        <v>11</v>
      </c>
      <c r="E1015" s="151">
        <v>16</v>
      </c>
      <c r="F1015" s="152" t="s">
        <v>275</v>
      </c>
      <c r="G1015" s="152" t="s">
        <v>623</v>
      </c>
      <c r="H1015" s="153">
        <v>785.87</v>
      </c>
      <c r="I1015" s="153">
        <v>0</v>
      </c>
      <c r="J1015" s="154">
        <f t="shared" si="35"/>
        <v>785.87</v>
      </c>
      <c r="M1015" s="52">
        <v>10646</v>
      </c>
    </row>
    <row r="1016" spans="2:13" ht="15" customHeight="1" x14ac:dyDescent="0.3">
      <c r="B1016" s="135">
        <v>11</v>
      </c>
      <c r="E1016" s="151">
        <v>16</v>
      </c>
      <c r="F1016" s="152" t="s">
        <v>275</v>
      </c>
      <c r="G1016" s="152" t="s">
        <v>623</v>
      </c>
      <c r="H1016" s="153">
        <v>279.05</v>
      </c>
      <c r="I1016" s="153">
        <v>0</v>
      </c>
      <c r="J1016" s="154">
        <f t="shared" si="35"/>
        <v>279.05</v>
      </c>
      <c r="M1016" s="52">
        <v>10645</v>
      </c>
    </row>
    <row r="1017" spans="2:13" ht="15" customHeight="1" x14ac:dyDescent="0.3">
      <c r="B1017" s="135">
        <v>11</v>
      </c>
      <c r="E1017" s="151">
        <v>16</v>
      </c>
      <c r="F1017" s="152" t="s">
        <v>275</v>
      </c>
      <c r="G1017" s="152" t="s">
        <v>623</v>
      </c>
      <c r="H1017" s="153">
        <v>16.75</v>
      </c>
      <c r="I1017" s="153">
        <v>0</v>
      </c>
      <c r="J1017" s="154">
        <f t="shared" si="35"/>
        <v>16.75</v>
      </c>
      <c r="M1017" s="52">
        <v>10643</v>
      </c>
    </row>
    <row r="1018" spans="2:13" ht="15" customHeight="1" x14ac:dyDescent="0.3">
      <c r="B1018" s="135">
        <v>11</v>
      </c>
      <c r="E1018" s="151">
        <v>16</v>
      </c>
      <c r="F1018" s="152" t="s">
        <v>275</v>
      </c>
      <c r="G1018" s="152" t="s">
        <v>623</v>
      </c>
      <c r="H1018" s="153">
        <v>-18.46</v>
      </c>
      <c r="I1018" s="153">
        <v>0</v>
      </c>
      <c r="J1018" s="154">
        <f t="shared" si="35"/>
        <v>-18.46</v>
      </c>
      <c r="M1018" s="52">
        <v>10644</v>
      </c>
    </row>
    <row r="1019" spans="2:13" ht="15" customHeight="1" x14ac:dyDescent="0.3">
      <c r="B1019" s="135">
        <v>11</v>
      </c>
      <c r="E1019" s="151">
        <v>16</v>
      </c>
      <c r="F1019" s="152" t="s">
        <v>275</v>
      </c>
      <c r="G1019" s="152" t="s">
        <v>623</v>
      </c>
      <c r="H1019" s="153">
        <v>561.95000000000005</v>
      </c>
      <c r="I1019" s="153">
        <v>0</v>
      </c>
      <c r="J1019" s="154">
        <f t="shared" si="35"/>
        <v>561.95000000000005</v>
      </c>
      <c r="M1019" s="52">
        <v>10647</v>
      </c>
    </row>
    <row r="1020" spans="2:13" ht="15" customHeight="1" x14ac:dyDescent="0.3">
      <c r="B1020" s="135">
        <v>11</v>
      </c>
      <c r="E1020" s="151">
        <v>16</v>
      </c>
      <c r="F1020" s="152" t="s">
        <v>275</v>
      </c>
      <c r="G1020" s="152" t="s">
        <v>623</v>
      </c>
      <c r="H1020" s="153">
        <v>104.48</v>
      </c>
      <c r="I1020" s="153">
        <v>0</v>
      </c>
      <c r="J1020" s="154">
        <f t="shared" si="35"/>
        <v>104.48</v>
      </c>
      <c r="M1020" s="52">
        <v>10648</v>
      </c>
    </row>
    <row r="1021" spans="2:13" ht="15" customHeight="1" x14ac:dyDescent="0.3">
      <c r="B1021" s="135">
        <v>11</v>
      </c>
      <c r="E1021" s="151">
        <v>16</v>
      </c>
      <c r="F1021" s="152" t="s">
        <v>275</v>
      </c>
      <c r="G1021" s="152" t="s">
        <v>623</v>
      </c>
      <c r="H1021" s="153">
        <v>91.87</v>
      </c>
      <c r="I1021" s="153">
        <v>0</v>
      </c>
      <c r="J1021" s="154">
        <f t="shared" si="35"/>
        <v>91.87</v>
      </c>
      <c r="M1021" s="52">
        <v>10649</v>
      </c>
    </row>
    <row r="1022" spans="2:13" ht="15" customHeight="1" x14ac:dyDescent="0.3">
      <c r="B1022" s="135">
        <v>11</v>
      </c>
      <c r="E1022" s="151">
        <v>16</v>
      </c>
      <c r="F1022" s="152" t="s">
        <v>275</v>
      </c>
      <c r="G1022" s="152" t="s">
        <v>623</v>
      </c>
      <c r="H1022" s="153">
        <v>843.96</v>
      </c>
      <c r="I1022" s="153">
        <v>0</v>
      </c>
      <c r="J1022" s="154">
        <f t="shared" si="35"/>
        <v>843.96</v>
      </c>
      <c r="M1022" s="52">
        <v>10695</v>
      </c>
    </row>
    <row r="1023" spans="2:13" ht="15" customHeight="1" x14ac:dyDescent="0.3">
      <c r="B1023" s="135">
        <v>11</v>
      </c>
      <c r="E1023" s="151">
        <v>16</v>
      </c>
      <c r="F1023" s="152" t="s">
        <v>275</v>
      </c>
      <c r="G1023" s="152" t="s">
        <v>623</v>
      </c>
      <c r="H1023" s="153">
        <v>107.25</v>
      </c>
      <c r="I1023" s="153">
        <v>0</v>
      </c>
      <c r="J1023" s="154">
        <f t="shared" si="35"/>
        <v>107.25</v>
      </c>
      <c r="M1023" s="52">
        <v>10696</v>
      </c>
    </row>
    <row r="1024" spans="2:13" ht="15" customHeight="1" x14ac:dyDescent="0.3">
      <c r="B1024" s="135">
        <v>11</v>
      </c>
      <c r="E1024" s="151">
        <v>16</v>
      </c>
      <c r="F1024" s="152" t="s">
        <v>275</v>
      </c>
      <c r="G1024" s="152" t="s">
        <v>623</v>
      </c>
      <c r="H1024" s="153">
        <v>1404</v>
      </c>
      <c r="I1024" s="153">
        <v>0</v>
      </c>
      <c r="J1024" s="154">
        <f t="shared" si="35"/>
        <v>1404</v>
      </c>
      <c r="M1024" s="52">
        <v>10697</v>
      </c>
    </row>
    <row r="1025" spans="2:13" ht="15" customHeight="1" x14ac:dyDescent="0.3">
      <c r="B1025" s="135">
        <v>11</v>
      </c>
      <c r="E1025" s="151">
        <v>16</v>
      </c>
      <c r="F1025" s="152" t="s">
        <v>275</v>
      </c>
      <c r="G1025" s="152" t="s">
        <v>623</v>
      </c>
      <c r="H1025" s="153">
        <v>875.4</v>
      </c>
      <c r="I1025" s="153">
        <v>0</v>
      </c>
      <c r="J1025" s="154">
        <f t="shared" si="35"/>
        <v>875.4</v>
      </c>
      <c r="M1025" s="52">
        <v>10698</v>
      </c>
    </row>
    <row r="1026" spans="2:13" ht="15" customHeight="1" x14ac:dyDescent="0.3">
      <c r="B1026" s="135">
        <v>11</v>
      </c>
      <c r="E1026" s="151">
        <v>16</v>
      </c>
      <c r="F1026" s="152" t="s">
        <v>275</v>
      </c>
      <c r="G1026" s="152" t="s">
        <v>623</v>
      </c>
      <c r="H1026" s="153">
        <v>505.24</v>
      </c>
      <c r="I1026" s="153">
        <v>0</v>
      </c>
      <c r="J1026" s="154">
        <f t="shared" si="35"/>
        <v>505.24</v>
      </c>
      <c r="M1026" s="52">
        <v>10699</v>
      </c>
    </row>
    <row r="1027" spans="2:13" ht="15" customHeight="1" x14ac:dyDescent="0.3">
      <c r="B1027" s="135">
        <v>11</v>
      </c>
      <c r="E1027" s="151">
        <v>16</v>
      </c>
      <c r="F1027" s="152" t="s">
        <v>275</v>
      </c>
      <c r="G1027" s="152" t="s">
        <v>623</v>
      </c>
      <c r="H1027" s="153">
        <v>11.28</v>
      </c>
      <c r="I1027" s="153">
        <v>0</v>
      </c>
      <c r="J1027" s="154">
        <f t="shared" si="35"/>
        <v>11.28</v>
      </c>
      <c r="M1027" s="52">
        <v>10700</v>
      </c>
    </row>
    <row r="1028" spans="2:13" ht="15" customHeight="1" x14ac:dyDescent="0.3">
      <c r="B1028" s="135">
        <v>11</v>
      </c>
      <c r="E1028" s="151">
        <v>16</v>
      </c>
      <c r="F1028" s="152" t="s">
        <v>275</v>
      </c>
      <c r="G1028" s="152" t="s">
        <v>623</v>
      </c>
      <c r="H1028" s="153">
        <v>5224.82</v>
      </c>
      <c r="I1028" s="153">
        <v>0</v>
      </c>
      <c r="J1028" s="154">
        <f t="shared" si="35"/>
        <v>5224.82</v>
      </c>
      <c r="M1028" s="52">
        <v>10701</v>
      </c>
    </row>
    <row r="1029" spans="2:13" ht="15" customHeight="1" x14ac:dyDescent="0.3">
      <c r="B1029" s="135">
        <v>11</v>
      </c>
      <c r="E1029" s="151">
        <v>16</v>
      </c>
      <c r="F1029" s="152" t="s">
        <v>275</v>
      </c>
      <c r="G1029" s="152" t="s">
        <v>623</v>
      </c>
      <c r="H1029" s="153">
        <v>210.35</v>
      </c>
      <c r="I1029" s="153">
        <v>0</v>
      </c>
      <c r="J1029" s="154">
        <f t="shared" si="35"/>
        <v>210.35</v>
      </c>
      <c r="M1029" s="52">
        <v>10702</v>
      </c>
    </row>
    <row r="1030" spans="2:13" ht="15" customHeight="1" x14ac:dyDescent="0.3">
      <c r="B1030" s="135">
        <v>11</v>
      </c>
      <c r="E1030" s="151">
        <v>16</v>
      </c>
      <c r="F1030" s="152" t="s">
        <v>275</v>
      </c>
      <c r="G1030" s="152" t="s">
        <v>623</v>
      </c>
      <c r="H1030" s="153">
        <v>164.78</v>
      </c>
      <c r="I1030" s="153">
        <v>0</v>
      </c>
      <c r="J1030" s="154">
        <f t="shared" si="35"/>
        <v>164.78</v>
      </c>
      <c r="M1030" s="52">
        <v>10703</v>
      </c>
    </row>
    <row r="1031" spans="2:13" ht="15" customHeight="1" x14ac:dyDescent="0.3">
      <c r="B1031" s="135">
        <v>11</v>
      </c>
      <c r="E1031" s="151">
        <v>16</v>
      </c>
      <c r="F1031" s="152" t="s">
        <v>275</v>
      </c>
      <c r="G1031" s="152" t="s">
        <v>623</v>
      </c>
      <c r="H1031" s="153">
        <v>149.43</v>
      </c>
      <c r="I1031" s="153">
        <v>0</v>
      </c>
      <c r="J1031" s="154">
        <f t="shared" si="35"/>
        <v>149.43</v>
      </c>
      <c r="M1031" s="52">
        <v>10704</v>
      </c>
    </row>
    <row r="1032" spans="2:13" ht="15" customHeight="1" x14ac:dyDescent="0.3">
      <c r="B1032" s="135">
        <v>11</v>
      </c>
      <c r="E1032" s="151">
        <v>16</v>
      </c>
      <c r="F1032" s="152" t="s">
        <v>275</v>
      </c>
      <c r="G1032" s="152" t="s">
        <v>623</v>
      </c>
      <c r="H1032" s="153">
        <v>148.65</v>
      </c>
      <c r="I1032" s="153">
        <v>0</v>
      </c>
      <c r="J1032" s="154">
        <f t="shared" si="35"/>
        <v>148.65</v>
      </c>
      <c r="M1032" s="52">
        <v>10705</v>
      </c>
    </row>
    <row r="1033" spans="2:13" ht="15" customHeight="1" x14ac:dyDescent="0.3">
      <c r="B1033" s="135">
        <v>11</v>
      </c>
      <c r="E1033" s="151">
        <v>16</v>
      </c>
      <c r="F1033" s="152" t="s">
        <v>275</v>
      </c>
      <c r="G1033" s="152" t="s">
        <v>623</v>
      </c>
      <c r="H1033" s="153">
        <v>119.71</v>
      </c>
      <c r="I1033" s="153">
        <v>0</v>
      </c>
      <c r="J1033" s="154">
        <f t="shared" si="35"/>
        <v>119.71</v>
      </c>
      <c r="M1033" s="52">
        <v>10706</v>
      </c>
    </row>
    <row r="1034" spans="2:13" ht="15" customHeight="1" x14ac:dyDescent="0.3">
      <c r="B1034" s="135">
        <v>11</v>
      </c>
      <c r="E1034" s="151">
        <v>16</v>
      </c>
      <c r="F1034" s="152" t="s">
        <v>275</v>
      </c>
      <c r="G1034" s="152" t="s">
        <v>623</v>
      </c>
      <c r="H1034" s="153">
        <v>2513.56</v>
      </c>
      <c r="I1034" s="153">
        <v>0</v>
      </c>
      <c r="J1034" s="154">
        <f t="shared" si="35"/>
        <v>2513.56</v>
      </c>
      <c r="M1034" s="52">
        <v>10707</v>
      </c>
    </row>
    <row r="1035" spans="2:13" ht="15" customHeight="1" x14ac:dyDescent="0.3">
      <c r="B1035" s="135">
        <v>11</v>
      </c>
      <c r="E1035" s="151">
        <v>16</v>
      </c>
      <c r="F1035" s="152" t="s">
        <v>275</v>
      </c>
      <c r="G1035" s="152" t="s">
        <v>623</v>
      </c>
      <c r="H1035" s="153">
        <v>820.32</v>
      </c>
      <c r="I1035" s="153">
        <v>0</v>
      </c>
      <c r="J1035" s="154">
        <f t="shared" si="35"/>
        <v>820.32</v>
      </c>
      <c r="M1035" s="52">
        <v>10708</v>
      </c>
    </row>
    <row r="1036" spans="2:13" ht="15" customHeight="1" x14ac:dyDescent="0.3">
      <c r="B1036" s="135">
        <v>11</v>
      </c>
      <c r="E1036" s="151">
        <v>16</v>
      </c>
      <c r="F1036" s="152" t="s">
        <v>275</v>
      </c>
      <c r="G1036" s="152" t="s">
        <v>623</v>
      </c>
      <c r="H1036" s="153">
        <v>21575.08</v>
      </c>
      <c r="I1036" s="153">
        <v>0</v>
      </c>
      <c r="J1036" s="154">
        <f t="shared" si="35"/>
        <v>21575.08</v>
      </c>
      <c r="M1036" s="52">
        <v>10720</v>
      </c>
    </row>
    <row r="1037" spans="2:13" ht="15" customHeight="1" x14ac:dyDescent="0.3">
      <c r="B1037" s="135">
        <v>11</v>
      </c>
      <c r="E1037" s="151">
        <v>16</v>
      </c>
      <c r="F1037" s="152" t="s">
        <v>275</v>
      </c>
      <c r="G1037" s="152" t="s">
        <v>623</v>
      </c>
      <c r="H1037" s="153">
        <v>84.63</v>
      </c>
      <c r="I1037" s="153">
        <v>0</v>
      </c>
      <c r="J1037" s="154">
        <f t="shared" si="35"/>
        <v>84.63</v>
      </c>
      <c r="M1037" s="52">
        <v>10721</v>
      </c>
    </row>
    <row r="1038" spans="2:13" ht="15" customHeight="1" x14ac:dyDescent="0.3">
      <c r="B1038" s="135">
        <v>11</v>
      </c>
      <c r="E1038" s="151">
        <v>16</v>
      </c>
      <c r="F1038" s="152" t="s">
        <v>275</v>
      </c>
      <c r="G1038" s="152" t="s">
        <v>623</v>
      </c>
      <c r="H1038" s="153">
        <v>10180.26</v>
      </c>
      <c r="I1038" s="153">
        <v>0</v>
      </c>
      <c r="J1038" s="154">
        <f t="shared" si="35"/>
        <v>10180.26</v>
      </c>
      <c r="M1038" s="52">
        <v>10722</v>
      </c>
    </row>
    <row r="1039" spans="2:13" ht="15" customHeight="1" x14ac:dyDescent="0.3">
      <c r="B1039" s="135">
        <v>11</v>
      </c>
      <c r="E1039" s="151">
        <v>16</v>
      </c>
      <c r="F1039" s="152" t="s">
        <v>275</v>
      </c>
      <c r="G1039" s="152" t="s">
        <v>623</v>
      </c>
      <c r="H1039" s="153">
        <v>162.38999999999999</v>
      </c>
      <c r="I1039" s="153">
        <v>0</v>
      </c>
      <c r="J1039" s="154">
        <f>H1039-I1039</f>
        <v>162.38999999999999</v>
      </c>
      <c r="M1039" s="52">
        <v>10723</v>
      </c>
    </row>
    <row r="1040" spans="2:13" ht="15" customHeight="1" x14ac:dyDescent="0.3">
      <c r="B1040" s="135">
        <v>11</v>
      </c>
      <c r="E1040" s="151">
        <v>1</v>
      </c>
      <c r="F1040" s="152" t="s">
        <v>261</v>
      </c>
      <c r="G1040" s="152" t="s">
        <v>624</v>
      </c>
      <c r="H1040" s="153">
        <v>10000</v>
      </c>
      <c r="I1040" s="153">
        <v>0</v>
      </c>
      <c r="J1040" s="154">
        <f t="shared" ref="J1040:J1051" si="36">H1040-I1040</f>
        <v>10000</v>
      </c>
      <c r="M1040" s="52" t="s">
        <v>534</v>
      </c>
    </row>
    <row r="1041" spans="2:13" ht="15" customHeight="1" x14ac:dyDescent="0.3">
      <c r="B1041" s="135">
        <v>11</v>
      </c>
      <c r="E1041" s="151">
        <v>1</v>
      </c>
      <c r="F1041" s="152" t="s">
        <v>169</v>
      </c>
      <c r="G1041" s="152" t="s">
        <v>625</v>
      </c>
      <c r="H1041" s="153">
        <v>3888.8888888888887</v>
      </c>
      <c r="I1041" s="153">
        <v>0</v>
      </c>
      <c r="J1041" s="154">
        <f t="shared" si="36"/>
        <v>3888.8888888888887</v>
      </c>
      <c r="M1041" s="52" t="s">
        <v>534</v>
      </c>
    </row>
    <row r="1042" spans="2:13" ht="15" customHeight="1" x14ac:dyDescent="0.3">
      <c r="B1042" s="135">
        <v>11</v>
      </c>
      <c r="E1042" s="151">
        <v>1</v>
      </c>
      <c r="F1042" s="152" t="s">
        <v>172</v>
      </c>
      <c r="G1042" s="152" t="s">
        <v>625</v>
      </c>
      <c r="H1042" s="153">
        <v>3611.1111111111113</v>
      </c>
      <c r="I1042" s="153">
        <v>0</v>
      </c>
      <c r="J1042" s="154">
        <f t="shared" si="36"/>
        <v>3611.1111111111113</v>
      </c>
      <c r="M1042" s="52" t="s">
        <v>534</v>
      </c>
    </row>
    <row r="1043" spans="2:13" ht="15" customHeight="1" x14ac:dyDescent="0.3">
      <c r="B1043" s="135">
        <v>11</v>
      </c>
      <c r="E1043" s="151">
        <v>2</v>
      </c>
      <c r="F1043" s="152" t="s">
        <v>482</v>
      </c>
      <c r="G1043" s="152" t="s">
        <v>268</v>
      </c>
      <c r="H1043" s="153">
        <v>9030.42</v>
      </c>
      <c r="I1043" s="153">
        <v>0</v>
      </c>
      <c r="J1043" s="154">
        <f t="shared" si="36"/>
        <v>9030.42</v>
      </c>
      <c r="M1043" s="52">
        <v>10727</v>
      </c>
    </row>
    <row r="1044" spans="2:13" ht="15" customHeight="1" x14ac:dyDescent="0.3">
      <c r="B1044" s="135">
        <v>11</v>
      </c>
      <c r="E1044" s="151">
        <v>7</v>
      </c>
      <c r="F1044" s="152" t="s">
        <v>480</v>
      </c>
      <c r="G1044" s="152" t="s">
        <v>268</v>
      </c>
      <c r="H1044" s="153">
        <v>2574.5500000000002</v>
      </c>
      <c r="I1044" s="153">
        <v>0</v>
      </c>
      <c r="J1044" s="154">
        <f t="shared" si="36"/>
        <v>2574.5500000000002</v>
      </c>
      <c r="M1044" s="52">
        <v>10726</v>
      </c>
    </row>
    <row r="1045" spans="2:13" ht="15" customHeight="1" x14ac:dyDescent="0.3">
      <c r="B1045" s="135">
        <v>11</v>
      </c>
      <c r="E1045" s="151">
        <v>7</v>
      </c>
      <c r="F1045" s="152" t="s">
        <v>626</v>
      </c>
      <c r="G1045" s="152" t="s">
        <v>627</v>
      </c>
      <c r="H1045" s="153">
        <v>47100</v>
      </c>
      <c r="I1045" s="153">
        <v>4710</v>
      </c>
      <c r="J1045" s="154">
        <f t="shared" si="36"/>
        <v>42390</v>
      </c>
      <c r="M1045" s="52">
        <v>10729</v>
      </c>
    </row>
    <row r="1046" spans="2:13" ht="15" customHeight="1" x14ac:dyDescent="0.3">
      <c r="B1046" s="135">
        <v>11</v>
      </c>
      <c r="E1046" s="151">
        <v>7</v>
      </c>
      <c r="F1046" s="152" t="s">
        <v>509</v>
      </c>
      <c r="G1046" s="152" t="s">
        <v>628</v>
      </c>
      <c r="H1046" s="153">
        <v>47366</v>
      </c>
      <c r="I1046" s="153">
        <v>4736.6000000000004</v>
      </c>
      <c r="J1046" s="154">
        <f t="shared" si="36"/>
        <v>42629.4</v>
      </c>
      <c r="M1046" s="52">
        <v>10730</v>
      </c>
    </row>
    <row r="1047" spans="2:13" ht="15" customHeight="1" x14ac:dyDescent="0.3">
      <c r="B1047" s="135">
        <v>11</v>
      </c>
      <c r="E1047" s="151">
        <v>14</v>
      </c>
      <c r="F1047" s="152" t="s">
        <v>629</v>
      </c>
      <c r="G1047" s="152" t="s">
        <v>630</v>
      </c>
      <c r="H1047" s="153">
        <v>107000</v>
      </c>
      <c r="I1047" s="153">
        <v>10700</v>
      </c>
      <c r="J1047" s="154">
        <f t="shared" si="36"/>
        <v>96300</v>
      </c>
      <c r="M1047" s="52">
        <v>10731</v>
      </c>
    </row>
    <row r="1048" spans="2:13" ht="15" customHeight="1" x14ac:dyDescent="0.3">
      <c r="B1048" s="135">
        <v>11</v>
      </c>
      <c r="E1048" s="151">
        <v>14</v>
      </c>
      <c r="F1048" s="152" t="s">
        <v>631</v>
      </c>
      <c r="G1048" s="152" t="s">
        <v>630</v>
      </c>
      <c r="H1048" s="153">
        <v>35000</v>
      </c>
      <c r="I1048" s="153">
        <v>3500</v>
      </c>
      <c r="J1048" s="154">
        <f t="shared" si="36"/>
        <v>31500</v>
      </c>
      <c r="M1048" s="52">
        <v>10731</v>
      </c>
    </row>
    <row r="1049" spans="2:13" ht="15" customHeight="1" x14ac:dyDescent="0.3">
      <c r="B1049" s="135">
        <v>11</v>
      </c>
      <c r="E1049" s="151">
        <v>16</v>
      </c>
      <c r="F1049" s="152" t="s">
        <v>632</v>
      </c>
      <c r="G1049" s="152" t="s">
        <v>268</v>
      </c>
      <c r="H1049" s="153">
        <v>1982.35</v>
      </c>
      <c r="I1049" s="153">
        <v>0</v>
      </c>
      <c r="J1049" s="154">
        <f t="shared" si="36"/>
        <v>1982.35</v>
      </c>
      <c r="M1049" s="52">
        <v>10728</v>
      </c>
    </row>
    <row r="1050" spans="2:13" ht="15" customHeight="1" x14ac:dyDescent="0.3">
      <c r="B1050" s="135">
        <v>11</v>
      </c>
      <c r="E1050" s="151">
        <v>16</v>
      </c>
      <c r="F1050" s="152" t="s">
        <v>631</v>
      </c>
      <c r="G1050" s="152" t="s">
        <v>630</v>
      </c>
      <c r="H1050" s="153">
        <v>53000</v>
      </c>
      <c r="I1050" s="153">
        <v>5300</v>
      </c>
      <c r="J1050" s="154">
        <f t="shared" si="36"/>
        <v>47700</v>
      </c>
      <c r="M1050" s="52">
        <v>10731</v>
      </c>
    </row>
    <row r="1051" spans="2:13" ht="15" customHeight="1" x14ac:dyDescent="0.3">
      <c r="B1051" s="135">
        <v>11</v>
      </c>
      <c r="E1051" s="151">
        <v>18</v>
      </c>
      <c r="F1051" s="152" t="s">
        <v>6</v>
      </c>
      <c r="G1051" s="152" t="s">
        <v>625</v>
      </c>
      <c r="H1051" s="153">
        <v>16666.666666666668</v>
      </c>
      <c r="I1051" s="153">
        <v>1666.666666666667</v>
      </c>
      <c r="J1051" s="154">
        <f t="shared" si="36"/>
        <v>15000</v>
      </c>
      <c r="M1051" s="52" t="s">
        <v>535</v>
      </c>
    </row>
    <row r="1052" spans="2:13" ht="15" customHeight="1" x14ac:dyDescent="0.3">
      <c r="B1052" s="155">
        <v>12</v>
      </c>
      <c r="E1052" s="151">
        <v>1</v>
      </c>
      <c r="F1052" s="152" t="s">
        <v>352</v>
      </c>
      <c r="G1052" s="152" t="s">
        <v>255</v>
      </c>
      <c r="H1052" s="153">
        <v>817.83</v>
      </c>
      <c r="I1052" s="153">
        <v>0</v>
      </c>
      <c r="J1052" s="154">
        <f>H1052-I1052</f>
        <v>817.83</v>
      </c>
      <c r="M1052" s="52">
        <v>10767</v>
      </c>
    </row>
    <row r="1053" spans="2:13" ht="15" customHeight="1" x14ac:dyDescent="0.3">
      <c r="B1053" s="155">
        <v>12</v>
      </c>
      <c r="E1053" s="151">
        <v>1</v>
      </c>
      <c r="F1053" s="152" t="s">
        <v>354</v>
      </c>
      <c r="G1053" s="152" t="s">
        <v>255</v>
      </c>
      <c r="H1053" s="153">
        <v>187.27</v>
      </c>
      <c r="I1053" s="153">
        <v>0</v>
      </c>
      <c r="J1053" s="154">
        <f t="shared" ref="J1053:J1116" si="37">H1053-I1053</f>
        <v>187.27</v>
      </c>
      <c r="M1053" s="52">
        <v>10768</v>
      </c>
    </row>
    <row r="1054" spans="2:13" ht="15" customHeight="1" x14ac:dyDescent="0.3">
      <c r="B1054" s="155">
        <v>12</v>
      </c>
      <c r="E1054" s="151">
        <v>1</v>
      </c>
      <c r="F1054" s="152" t="s">
        <v>354</v>
      </c>
      <c r="G1054" s="152" t="s">
        <v>255</v>
      </c>
      <c r="H1054" s="153">
        <v>190.52</v>
      </c>
      <c r="I1054" s="153">
        <v>0</v>
      </c>
      <c r="J1054" s="154">
        <f t="shared" si="37"/>
        <v>190.52</v>
      </c>
      <c r="M1054" s="52">
        <v>10769</v>
      </c>
    </row>
    <row r="1055" spans="2:13" ht="15" customHeight="1" x14ac:dyDescent="0.3">
      <c r="B1055" s="155">
        <v>12</v>
      </c>
      <c r="E1055" s="151">
        <v>1</v>
      </c>
      <c r="F1055" s="152" t="s">
        <v>354</v>
      </c>
      <c r="G1055" s="152" t="s">
        <v>255</v>
      </c>
      <c r="H1055" s="153">
        <v>190.52</v>
      </c>
      <c r="I1055" s="153">
        <v>0</v>
      </c>
      <c r="J1055" s="154">
        <f t="shared" si="37"/>
        <v>190.52</v>
      </c>
      <c r="M1055" s="52">
        <v>10770</v>
      </c>
    </row>
    <row r="1056" spans="2:13" ht="15" customHeight="1" x14ac:dyDescent="0.3">
      <c r="B1056" s="155">
        <v>12</v>
      </c>
      <c r="E1056" s="151">
        <v>1</v>
      </c>
      <c r="F1056" s="152" t="s">
        <v>354</v>
      </c>
      <c r="G1056" s="152" t="s">
        <v>255</v>
      </c>
      <c r="H1056" s="153">
        <v>187.27</v>
      </c>
      <c r="I1056" s="153">
        <v>0</v>
      </c>
      <c r="J1056" s="154">
        <f t="shared" si="37"/>
        <v>187.27</v>
      </c>
      <c r="M1056" s="52">
        <v>10771</v>
      </c>
    </row>
    <row r="1057" spans="2:13" ht="15" customHeight="1" x14ac:dyDescent="0.3">
      <c r="B1057" s="155">
        <v>12</v>
      </c>
      <c r="E1057" s="151">
        <v>1</v>
      </c>
      <c r="F1057" s="152" t="s">
        <v>354</v>
      </c>
      <c r="G1057" s="152" t="s">
        <v>255</v>
      </c>
      <c r="H1057" s="153">
        <v>187.27</v>
      </c>
      <c r="I1057" s="153">
        <v>0</v>
      </c>
      <c r="J1057" s="154">
        <f t="shared" si="37"/>
        <v>187.27</v>
      </c>
      <c r="M1057" s="52">
        <v>10772</v>
      </c>
    </row>
    <row r="1058" spans="2:13" ht="15" customHeight="1" x14ac:dyDescent="0.3">
      <c r="B1058" s="155">
        <v>12</v>
      </c>
      <c r="E1058" s="151">
        <v>1</v>
      </c>
      <c r="F1058" s="152" t="s">
        <v>354</v>
      </c>
      <c r="G1058" s="152" t="s">
        <v>255</v>
      </c>
      <c r="H1058" s="153">
        <v>150.74</v>
      </c>
      <c r="I1058" s="153">
        <v>0</v>
      </c>
      <c r="J1058" s="154">
        <f t="shared" si="37"/>
        <v>150.74</v>
      </c>
      <c r="M1058" s="52">
        <v>10773</v>
      </c>
    </row>
    <row r="1059" spans="2:13" ht="15" customHeight="1" x14ac:dyDescent="0.3">
      <c r="B1059" s="155">
        <v>12</v>
      </c>
      <c r="E1059" s="151">
        <v>1</v>
      </c>
      <c r="F1059" s="152" t="s">
        <v>354</v>
      </c>
      <c r="G1059" s="152" t="s">
        <v>255</v>
      </c>
      <c r="H1059" s="153">
        <v>150.74</v>
      </c>
      <c r="I1059" s="153">
        <v>0</v>
      </c>
      <c r="J1059" s="154">
        <f t="shared" si="37"/>
        <v>150.74</v>
      </c>
      <c r="M1059" s="52">
        <v>10774</v>
      </c>
    </row>
    <row r="1060" spans="2:13" ht="15" customHeight="1" x14ac:dyDescent="0.3">
      <c r="B1060" s="155">
        <v>12</v>
      </c>
      <c r="E1060" s="151">
        <v>1</v>
      </c>
      <c r="F1060" s="152" t="s">
        <v>241</v>
      </c>
      <c r="G1060" s="152" t="s">
        <v>238</v>
      </c>
      <c r="H1060" s="153">
        <v>521.77</v>
      </c>
      <c r="I1060" s="153">
        <v>0</v>
      </c>
      <c r="J1060" s="154">
        <f t="shared" si="37"/>
        <v>521.77</v>
      </c>
      <c r="M1060" s="52">
        <v>10778</v>
      </c>
    </row>
    <row r="1061" spans="2:13" ht="15" customHeight="1" x14ac:dyDescent="0.3">
      <c r="B1061" s="155">
        <v>12</v>
      </c>
      <c r="E1061" s="151">
        <v>1</v>
      </c>
      <c r="F1061" s="152" t="s">
        <v>248</v>
      </c>
      <c r="G1061" s="152" t="s">
        <v>286</v>
      </c>
      <c r="H1061" s="153">
        <v>10</v>
      </c>
      <c r="I1061" s="153">
        <v>0</v>
      </c>
      <c r="J1061" s="154">
        <f t="shared" si="37"/>
        <v>10</v>
      </c>
      <c r="M1061" s="52">
        <v>10779</v>
      </c>
    </row>
    <row r="1062" spans="2:13" ht="15" customHeight="1" x14ac:dyDescent="0.3">
      <c r="B1062" s="155">
        <v>12</v>
      </c>
      <c r="E1062" s="151">
        <v>1</v>
      </c>
      <c r="F1062" s="152" t="s">
        <v>257</v>
      </c>
      <c r="G1062" s="152" t="s">
        <v>351</v>
      </c>
      <c r="H1062" s="153">
        <v>1521.58</v>
      </c>
      <c r="I1062" s="153">
        <v>0</v>
      </c>
      <c r="J1062" s="154">
        <f t="shared" si="37"/>
        <v>1521.58</v>
      </c>
      <c r="M1062" s="52">
        <v>10780</v>
      </c>
    </row>
    <row r="1063" spans="2:13" ht="15" customHeight="1" x14ac:dyDescent="0.3">
      <c r="B1063" s="155">
        <v>12</v>
      </c>
      <c r="E1063" s="151">
        <v>1</v>
      </c>
      <c r="F1063" s="152" t="s">
        <v>247</v>
      </c>
      <c r="G1063" s="152" t="s">
        <v>633</v>
      </c>
      <c r="H1063" s="153">
        <v>307.42</v>
      </c>
      <c r="I1063" s="153">
        <v>0</v>
      </c>
      <c r="J1063" s="154">
        <f t="shared" si="37"/>
        <v>307.42</v>
      </c>
      <c r="M1063" s="52">
        <v>10789</v>
      </c>
    </row>
    <row r="1064" spans="2:13" ht="15" customHeight="1" x14ac:dyDescent="0.3">
      <c r="B1064" s="155">
        <v>12</v>
      </c>
      <c r="E1064" s="151">
        <v>1</v>
      </c>
      <c r="F1064" s="152" t="s">
        <v>247</v>
      </c>
      <c r="G1064" s="152" t="s">
        <v>634</v>
      </c>
      <c r="H1064" s="153">
        <v>25.3</v>
      </c>
      <c r="I1064" s="153">
        <v>0</v>
      </c>
      <c r="J1064" s="154">
        <f t="shared" si="37"/>
        <v>25.3</v>
      </c>
      <c r="M1064" s="52">
        <v>10791</v>
      </c>
    </row>
    <row r="1065" spans="2:13" ht="15" customHeight="1" x14ac:dyDescent="0.3">
      <c r="B1065" s="155">
        <v>12</v>
      </c>
      <c r="E1065" s="151">
        <v>1</v>
      </c>
      <c r="F1065" s="152" t="s">
        <v>354</v>
      </c>
      <c r="G1065" s="152" t="s">
        <v>255</v>
      </c>
      <c r="H1065" s="153">
        <v>187.27</v>
      </c>
      <c r="I1065" s="153">
        <v>0</v>
      </c>
      <c r="J1065" s="154">
        <f t="shared" si="37"/>
        <v>187.27</v>
      </c>
      <c r="M1065" s="52">
        <v>10806</v>
      </c>
    </row>
    <row r="1066" spans="2:13" ht="15" customHeight="1" x14ac:dyDescent="0.3">
      <c r="B1066" s="155">
        <v>12</v>
      </c>
      <c r="E1066" s="151">
        <v>1</v>
      </c>
      <c r="F1066" s="152" t="s">
        <v>354</v>
      </c>
      <c r="G1066" s="152" t="s">
        <v>255</v>
      </c>
      <c r="H1066" s="153">
        <v>187.27</v>
      </c>
      <c r="I1066" s="153">
        <v>0</v>
      </c>
      <c r="J1066" s="154">
        <f t="shared" si="37"/>
        <v>187.27</v>
      </c>
      <c r="M1066" s="52">
        <v>10807</v>
      </c>
    </row>
    <row r="1067" spans="2:13" ht="15" customHeight="1" x14ac:dyDescent="0.3">
      <c r="B1067" s="155">
        <v>12</v>
      </c>
      <c r="E1067" s="151">
        <v>1</v>
      </c>
      <c r="F1067" s="152" t="s">
        <v>247</v>
      </c>
      <c r="G1067" s="152" t="s">
        <v>635</v>
      </c>
      <c r="H1067" s="153">
        <v>14.99</v>
      </c>
      <c r="I1067" s="153">
        <v>0</v>
      </c>
      <c r="J1067" s="154">
        <f t="shared" si="37"/>
        <v>14.99</v>
      </c>
      <c r="M1067" s="52">
        <v>10810</v>
      </c>
    </row>
    <row r="1068" spans="2:13" ht="15" customHeight="1" x14ac:dyDescent="0.3">
      <c r="B1068" s="155">
        <v>12</v>
      </c>
      <c r="E1068" s="151">
        <v>1</v>
      </c>
      <c r="F1068" s="152" t="s">
        <v>285</v>
      </c>
      <c r="G1068" s="152" t="s">
        <v>636</v>
      </c>
      <c r="H1068" s="153">
        <v>27.08</v>
      </c>
      <c r="I1068" s="153">
        <v>0</v>
      </c>
      <c r="J1068" s="154">
        <f t="shared" si="37"/>
        <v>27.08</v>
      </c>
      <c r="M1068" s="52" t="s">
        <v>575</v>
      </c>
    </row>
    <row r="1069" spans="2:13" ht="15" customHeight="1" x14ac:dyDescent="0.3">
      <c r="B1069" s="155">
        <v>12</v>
      </c>
      <c r="E1069" s="151">
        <v>1</v>
      </c>
      <c r="F1069" s="152" t="s">
        <v>637</v>
      </c>
      <c r="G1069" s="152" t="s">
        <v>638</v>
      </c>
      <c r="H1069" s="153">
        <v>300</v>
      </c>
      <c r="I1069" s="153">
        <v>0</v>
      </c>
      <c r="J1069" s="154">
        <f t="shared" si="37"/>
        <v>300</v>
      </c>
      <c r="M1069" s="52" t="s">
        <v>575</v>
      </c>
    </row>
    <row r="1070" spans="2:13" ht="15" customHeight="1" x14ac:dyDescent="0.3">
      <c r="B1070" s="155">
        <v>12</v>
      </c>
      <c r="E1070" s="151">
        <v>1</v>
      </c>
      <c r="F1070" s="152" t="s">
        <v>639</v>
      </c>
      <c r="G1070" s="152" t="s">
        <v>640</v>
      </c>
      <c r="H1070" s="153">
        <v>1263</v>
      </c>
      <c r="I1070" s="153">
        <v>0</v>
      </c>
      <c r="J1070" s="154">
        <f t="shared" si="37"/>
        <v>1263</v>
      </c>
      <c r="M1070" s="52" t="s">
        <v>575</v>
      </c>
    </row>
    <row r="1071" spans="2:13" ht="15" customHeight="1" x14ac:dyDescent="0.3">
      <c r="B1071" s="155">
        <v>12</v>
      </c>
      <c r="E1071" s="151">
        <v>1</v>
      </c>
      <c r="F1071" s="152" t="s">
        <v>637</v>
      </c>
      <c r="G1071" s="152" t="s">
        <v>641</v>
      </c>
      <c r="H1071" s="153">
        <v>180</v>
      </c>
      <c r="I1071" s="153">
        <v>0</v>
      </c>
      <c r="J1071" s="154">
        <f t="shared" si="37"/>
        <v>180</v>
      </c>
      <c r="M1071" s="52" t="s">
        <v>575</v>
      </c>
    </row>
    <row r="1072" spans="2:13" ht="15" customHeight="1" x14ac:dyDescent="0.3">
      <c r="B1072" s="155">
        <v>12</v>
      </c>
      <c r="E1072" s="151">
        <v>1</v>
      </c>
      <c r="F1072" s="152" t="s">
        <v>639</v>
      </c>
      <c r="G1072" s="152" t="s">
        <v>642</v>
      </c>
      <c r="H1072" s="153">
        <v>186</v>
      </c>
      <c r="I1072" s="153">
        <v>0</v>
      </c>
      <c r="J1072" s="154">
        <f t="shared" si="37"/>
        <v>186</v>
      </c>
      <c r="M1072" s="52" t="s">
        <v>575</v>
      </c>
    </row>
    <row r="1073" spans="2:13" ht="15" customHeight="1" x14ac:dyDescent="0.3">
      <c r="B1073" s="155">
        <v>12</v>
      </c>
      <c r="E1073" s="151">
        <v>1</v>
      </c>
      <c r="F1073" s="152" t="s">
        <v>643</v>
      </c>
      <c r="G1073" s="152" t="s">
        <v>594</v>
      </c>
      <c r="H1073" s="153">
        <v>3.19</v>
      </c>
      <c r="I1073" s="153">
        <v>0</v>
      </c>
      <c r="J1073" s="154">
        <f t="shared" si="37"/>
        <v>3.19</v>
      </c>
      <c r="M1073" s="52" t="s">
        <v>575</v>
      </c>
    </row>
    <row r="1074" spans="2:13" ht="15" customHeight="1" x14ac:dyDescent="0.3">
      <c r="B1074" s="155">
        <v>12</v>
      </c>
      <c r="E1074" s="151">
        <v>1</v>
      </c>
      <c r="F1074" s="152" t="s">
        <v>644</v>
      </c>
      <c r="G1074" s="152" t="s">
        <v>645</v>
      </c>
      <c r="H1074" s="153">
        <v>12.18</v>
      </c>
      <c r="I1074" s="153">
        <v>0</v>
      </c>
      <c r="J1074" s="154">
        <f t="shared" si="37"/>
        <v>12.18</v>
      </c>
      <c r="M1074" s="52" t="s">
        <v>575</v>
      </c>
    </row>
    <row r="1075" spans="2:13" ht="15" customHeight="1" x14ac:dyDescent="0.3">
      <c r="B1075" s="155">
        <v>12</v>
      </c>
      <c r="E1075" s="151">
        <v>1</v>
      </c>
      <c r="F1075" s="152" t="s">
        <v>644</v>
      </c>
      <c r="G1075" s="152" t="s">
        <v>646</v>
      </c>
      <c r="H1075" s="153">
        <v>31.59</v>
      </c>
      <c r="I1075" s="153">
        <v>0</v>
      </c>
      <c r="J1075" s="154">
        <f t="shared" si="37"/>
        <v>31.59</v>
      </c>
      <c r="M1075" s="52" t="s">
        <v>575</v>
      </c>
    </row>
    <row r="1076" spans="2:13" ht="15" customHeight="1" x14ac:dyDescent="0.3">
      <c r="B1076" s="155">
        <v>12</v>
      </c>
      <c r="E1076" s="151">
        <v>1</v>
      </c>
      <c r="F1076" s="152" t="s">
        <v>644</v>
      </c>
      <c r="G1076" s="152" t="s">
        <v>646</v>
      </c>
      <c r="H1076" s="153">
        <v>28.27</v>
      </c>
      <c r="I1076" s="153">
        <v>0</v>
      </c>
      <c r="J1076" s="154">
        <f t="shared" si="37"/>
        <v>28.27</v>
      </c>
      <c r="M1076" s="52" t="s">
        <v>575</v>
      </c>
    </row>
    <row r="1077" spans="2:13" ht="15" customHeight="1" x14ac:dyDescent="0.3">
      <c r="B1077" s="155">
        <v>12</v>
      </c>
      <c r="E1077" s="151">
        <v>1</v>
      </c>
      <c r="F1077" s="152" t="s">
        <v>647</v>
      </c>
      <c r="G1077" s="152" t="s">
        <v>648</v>
      </c>
      <c r="H1077" s="153">
        <v>69.260000000000005</v>
      </c>
      <c r="I1077" s="153">
        <v>0</v>
      </c>
      <c r="J1077" s="154">
        <f t="shared" si="37"/>
        <v>69.260000000000005</v>
      </c>
      <c r="M1077" s="52" t="s">
        <v>575</v>
      </c>
    </row>
    <row r="1078" spans="2:13" ht="15" customHeight="1" x14ac:dyDescent="0.3">
      <c r="B1078" s="155">
        <v>12</v>
      </c>
      <c r="E1078" s="151">
        <v>1</v>
      </c>
      <c r="F1078" s="152" t="s">
        <v>647</v>
      </c>
      <c r="G1078" s="152" t="s">
        <v>648</v>
      </c>
      <c r="H1078" s="153">
        <v>108.22</v>
      </c>
      <c r="I1078" s="153">
        <v>0</v>
      </c>
      <c r="J1078" s="154">
        <f t="shared" si="37"/>
        <v>108.22</v>
      </c>
      <c r="M1078" s="52" t="s">
        <v>575</v>
      </c>
    </row>
    <row r="1079" spans="2:13" ht="15" customHeight="1" x14ac:dyDescent="0.3">
      <c r="B1079" s="155">
        <v>12</v>
      </c>
      <c r="E1079" s="151">
        <v>1</v>
      </c>
      <c r="F1079" s="152" t="s">
        <v>647</v>
      </c>
      <c r="G1079" s="152" t="s">
        <v>648</v>
      </c>
      <c r="H1079" s="153">
        <v>35.71</v>
      </c>
      <c r="I1079" s="153">
        <v>0</v>
      </c>
      <c r="J1079" s="154">
        <f t="shared" si="37"/>
        <v>35.71</v>
      </c>
      <c r="M1079" s="52" t="s">
        <v>575</v>
      </c>
    </row>
    <row r="1080" spans="2:13" ht="15" customHeight="1" x14ac:dyDescent="0.3">
      <c r="B1080" s="155">
        <v>12</v>
      </c>
      <c r="E1080" s="151">
        <v>1</v>
      </c>
      <c r="F1080" s="152" t="s">
        <v>643</v>
      </c>
      <c r="G1080" s="152" t="s">
        <v>649</v>
      </c>
      <c r="H1080" s="153">
        <v>37.11</v>
      </c>
      <c r="I1080" s="153">
        <v>0</v>
      </c>
      <c r="J1080" s="154">
        <f t="shared" si="37"/>
        <v>37.11</v>
      </c>
      <c r="M1080" s="52" t="s">
        <v>575</v>
      </c>
    </row>
    <row r="1081" spans="2:13" ht="15" customHeight="1" x14ac:dyDescent="0.3">
      <c r="B1081" s="155">
        <v>12</v>
      </c>
      <c r="E1081" s="151">
        <v>1</v>
      </c>
      <c r="F1081" s="152" t="s">
        <v>593</v>
      </c>
      <c r="G1081" s="152" t="s">
        <v>649</v>
      </c>
      <c r="H1081" s="153">
        <v>308.904</v>
      </c>
      <c r="I1081" s="153">
        <v>0</v>
      </c>
      <c r="J1081" s="154">
        <f t="shared" si="37"/>
        <v>308.904</v>
      </c>
      <c r="M1081" s="52" t="s">
        <v>575</v>
      </c>
    </row>
    <row r="1082" spans="2:13" ht="15" customHeight="1" x14ac:dyDescent="0.3">
      <c r="B1082" s="155">
        <v>12</v>
      </c>
      <c r="E1082" s="151">
        <v>1</v>
      </c>
      <c r="F1082" s="152" t="s">
        <v>637</v>
      </c>
      <c r="G1082" s="152" t="s">
        <v>650</v>
      </c>
      <c r="H1082" s="153">
        <v>2948.85</v>
      </c>
      <c r="I1082" s="153">
        <v>0</v>
      </c>
      <c r="J1082" s="154">
        <f t="shared" si="37"/>
        <v>2948.85</v>
      </c>
      <c r="M1082" s="52" t="s">
        <v>575</v>
      </c>
    </row>
    <row r="1083" spans="2:13" ht="15" customHeight="1" x14ac:dyDescent="0.3">
      <c r="B1083" s="155">
        <v>12</v>
      </c>
      <c r="E1083" s="151">
        <v>2</v>
      </c>
      <c r="F1083" s="152" t="s">
        <v>184</v>
      </c>
      <c r="G1083" s="152" t="s">
        <v>445</v>
      </c>
      <c r="H1083" s="153">
        <v>375</v>
      </c>
      <c r="I1083" s="153">
        <v>0</v>
      </c>
      <c r="J1083" s="154">
        <f t="shared" si="37"/>
        <v>375</v>
      </c>
      <c r="M1083" s="52">
        <v>10775</v>
      </c>
    </row>
    <row r="1084" spans="2:13" ht="15" customHeight="1" x14ac:dyDescent="0.3">
      <c r="B1084" s="155">
        <v>12</v>
      </c>
      <c r="E1084" s="151">
        <v>2</v>
      </c>
      <c r="F1084" s="152" t="s">
        <v>184</v>
      </c>
      <c r="G1084" s="152" t="s">
        <v>445</v>
      </c>
      <c r="H1084" s="153">
        <v>375</v>
      </c>
      <c r="I1084" s="153">
        <v>0</v>
      </c>
      <c r="J1084" s="154">
        <f t="shared" si="37"/>
        <v>375</v>
      </c>
      <c r="M1084" s="52">
        <v>10792</v>
      </c>
    </row>
    <row r="1085" spans="2:13" ht="15" customHeight="1" x14ac:dyDescent="0.3">
      <c r="B1085" s="155">
        <v>12</v>
      </c>
      <c r="E1085" s="151">
        <v>2</v>
      </c>
      <c r="F1085" s="152" t="s">
        <v>651</v>
      </c>
      <c r="G1085" s="152" t="s">
        <v>652</v>
      </c>
      <c r="H1085" s="153">
        <v>1243.18</v>
      </c>
      <c r="I1085" s="153">
        <v>0</v>
      </c>
      <c r="J1085" s="154">
        <f t="shared" si="37"/>
        <v>1243.18</v>
      </c>
      <c r="M1085" s="52" t="s">
        <v>575</v>
      </c>
    </row>
    <row r="1086" spans="2:13" ht="15" customHeight="1" x14ac:dyDescent="0.3">
      <c r="B1086" s="155">
        <v>12</v>
      </c>
      <c r="E1086" s="151">
        <v>2</v>
      </c>
      <c r="F1086" s="152" t="s">
        <v>595</v>
      </c>
      <c r="G1086" s="152" t="s">
        <v>596</v>
      </c>
      <c r="H1086" s="153">
        <v>34.31</v>
      </c>
      <c r="I1086" s="153">
        <v>0</v>
      </c>
      <c r="J1086" s="154">
        <f t="shared" si="37"/>
        <v>34.31</v>
      </c>
      <c r="M1086" s="52" t="s">
        <v>575</v>
      </c>
    </row>
    <row r="1087" spans="2:13" ht="15" customHeight="1" x14ac:dyDescent="0.3">
      <c r="B1087" s="155">
        <v>12</v>
      </c>
      <c r="E1087" s="151">
        <v>2</v>
      </c>
      <c r="F1087" s="152" t="s">
        <v>435</v>
      </c>
      <c r="G1087" s="152" t="s">
        <v>653</v>
      </c>
      <c r="H1087" s="153">
        <v>128.82</v>
      </c>
      <c r="I1087" s="153">
        <v>0</v>
      </c>
      <c r="J1087" s="154">
        <f t="shared" si="37"/>
        <v>128.82</v>
      </c>
      <c r="M1087" s="52">
        <v>10786</v>
      </c>
    </row>
    <row r="1088" spans="2:13" ht="15" customHeight="1" x14ac:dyDescent="0.3">
      <c r="B1088" s="155">
        <v>12</v>
      </c>
      <c r="E1088" s="151">
        <v>3</v>
      </c>
      <c r="F1088" s="152" t="s">
        <v>654</v>
      </c>
      <c r="G1088" s="152" t="s">
        <v>441</v>
      </c>
      <c r="H1088" s="153">
        <v>1222</v>
      </c>
      <c r="I1088" s="153">
        <v>0</v>
      </c>
      <c r="J1088" s="154">
        <f t="shared" si="37"/>
        <v>1222</v>
      </c>
      <c r="M1088" s="52">
        <v>10776</v>
      </c>
    </row>
    <row r="1089" spans="2:13" ht="15" customHeight="1" x14ac:dyDescent="0.3">
      <c r="B1089" s="155">
        <v>12</v>
      </c>
      <c r="E1089" s="151">
        <v>3</v>
      </c>
      <c r="F1089" s="152" t="s">
        <v>655</v>
      </c>
      <c r="G1089" s="152" t="s">
        <v>656</v>
      </c>
      <c r="H1089" s="153">
        <v>17.47</v>
      </c>
      <c r="I1089" s="153">
        <v>0</v>
      </c>
      <c r="J1089" s="154">
        <f t="shared" si="37"/>
        <v>17.47</v>
      </c>
      <c r="M1089" s="52">
        <v>10790</v>
      </c>
    </row>
    <row r="1090" spans="2:13" ht="15" customHeight="1" x14ac:dyDescent="0.3">
      <c r="B1090" s="155">
        <v>12</v>
      </c>
      <c r="E1090" s="151">
        <v>6</v>
      </c>
      <c r="F1090" s="152" t="s">
        <v>607</v>
      </c>
      <c r="G1090" s="152" t="s">
        <v>608</v>
      </c>
      <c r="H1090" s="153">
        <v>8550</v>
      </c>
      <c r="I1090" s="153">
        <v>0</v>
      </c>
      <c r="J1090" s="154">
        <f t="shared" si="37"/>
        <v>8550</v>
      </c>
      <c r="M1090" s="52">
        <v>10802</v>
      </c>
    </row>
    <row r="1091" spans="2:13" ht="15" customHeight="1" x14ac:dyDescent="0.3">
      <c r="B1091" s="155">
        <v>12</v>
      </c>
      <c r="E1091" s="151">
        <v>6</v>
      </c>
      <c r="F1091" s="152" t="s">
        <v>657</v>
      </c>
      <c r="G1091" s="152" t="s">
        <v>608</v>
      </c>
      <c r="H1091" s="153">
        <v>13436.9</v>
      </c>
      <c r="I1091" s="153">
        <v>0</v>
      </c>
      <c r="J1091" s="154">
        <f t="shared" si="37"/>
        <v>13436.9</v>
      </c>
      <c r="M1091" s="52">
        <v>10803</v>
      </c>
    </row>
    <row r="1092" spans="2:13" ht="15" customHeight="1" x14ac:dyDescent="0.3">
      <c r="B1092" s="155">
        <v>12</v>
      </c>
      <c r="E1092" s="151">
        <v>6</v>
      </c>
      <c r="F1092" s="152" t="s">
        <v>658</v>
      </c>
      <c r="G1092" s="152" t="s">
        <v>659</v>
      </c>
      <c r="H1092" s="153">
        <v>417.97</v>
      </c>
      <c r="I1092" s="153">
        <v>0</v>
      </c>
      <c r="J1092" s="154">
        <f t="shared" si="37"/>
        <v>417.97</v>
      </c>
      <c r="M1092" s="52" t="s">
        <v>575</v>
      </c>
    </row>
    <row r="1093" spans="2:13" ht="15" customHeight="1" x14ac:dyDescent="0.3">
      <c r="B1093" s="155">
        <v>12</v>
      </c>
      <c r="E1093" s="151">
        <v>6</v>
      </c>
      <c r="F1093" s="152" t="s">
        <v>658</v>
      </c>
      <c r="G1093" s="152" t="s">
        <v>659</v>
      </c>
      <c r="H1093" s="153">
        <v>34.11</v>
      </c>
      <c r="I1093" s="153">
        <v>0</v>
      </c>
      <c r="J1093" s="154">
        <f t="shared" si="37"/>
        <v>34.11</v>
      </c>
      <c r="M1093" s="52" t="s">
        <v>575</v>
      </c>
    </row>
    <row r="1094" spans="2:13" ht="15" customHeight="1" x14ac:dyDescent="0.3">
      <c r="B1094" s="155">
        <v>12</v>
      </c>
      <c r="E1094" s="151">
        <v>6</v>
      </c>
      <c r="F1094" s="152" t="s">
        <v>658</v>
      </c>
      <c r="G1094" s="152" t="s">
        <v>659</v>
      </c>
      <c r="H1094" s="153">
        <v>201.4</v>
      </c>
      <c r="I1094" s="153">
        <v>0</v>
      </c>
      <c r="J1094" s="154">
        <f t="shared" si="37"/>
        <v>201.4</v>
      </c>
      <c r="M1094" s="52" t="s">
        <v>575</v>
      </c>
    </row>
    <row r="1095" spans="2:13" ht="15" customHeight="1" x14ac:dyDescent="0.3">
      <c r="B1095" s="155">
        <v>12</v>
      </c>
      <c r="E1095" s="151">
        <v>6</v>
      </c>
      <c r="F1095" s="152" t="s">
        <v>264</v>
      </c>
      <c r="G1095" s="152" t="s">
        <v>660</v>
      </c>
      <c r="H1095" s="153">
        <v>738.52</v>
      </c>
      <c r="I1095" s="153">
        <v>0</v>
      </c>
      <c r="J1095" s="154">
        <f t="shared" si="37"/>
        <v>738.52</v>
      </c>
      <c r="M1095" s="52">
        <v>10808</v>
      </c>
    </row>
    <row r="1096" spans="2:13" ht="15" customHeight="1" x14ac:dyDescent="0.3">
      <c r="B1096" s="155">
        <v>12</v>
      </c>
      <c r="E1096" s="151">
        <v>6</v>
      </c>
      <c r="F1096" s="152" t="s">
        <v>264</v>
      </c>
      <c r="G1096" s="152" t="s">
        <v>661</v>
      </c>
      <c r="H1096" s="153">
        <v>916.78</v>
      </c>
      <c r="I1096" s="153">
        <v>0</v>
      </c>
      <c r="J1096" s="154">
        <f t="shared" si="37"/>
        <v>916.78</v>
      </c>
      <c r="M1096" s="52">
        <v>10809</v>
      </c>
    </row>
    <row r="1097" spans="2:13" ht="15" customHeight="1" x14ac:dyDescent="0.3">
      <c r="B1097" s="155">
        <v>12</v>
      </c>
      <c r="E1097" s="151">
        <v>6</v>
      </c>
      <c r="F1097" s="152" t="s">
        <v>264</v>
      </c>
      <c r="G1097" s="152" t="s">
        <v>662</v>
      </c>
      <c r="H1097" s="153">
        <v>405.1</v>
      </c>
      <c r="I1097" s="153">
        <v>0</v>
      </c>
      <c r="J1097" s="154">
        <f t="shared" si="37"/>
        <v>405.1</v>
      </c>
      <c r="M1097" s="52">
        <v>10811</v>
      </c>
    </row>
    <row r="1098" spans="2:13" ht="15" customHeight="1" x14ac:dyDescent="0.3">
      <c r="B1098" s="155">
        <v>12</v>
      </c>
      <c r="E1098" s="151">
        <v>6</v>
      </c>
      <c r="F1098" s="152" t="s">
        <v>264</v>
      </c>
      <c r="G1098" s="152" t="s">
        <v>663</v>
      </c>
      <c r="H1098" s="153">
        <v>85.19</v>
      </c>
      <c r="I1098" s="153">
        <v>0</v>
      </c>
      <c r="J1098" s="154">
        <f t="shared" si="37"/>
        <v>85.19</v>
      </c>
      <c r="M1098" s="52">
        <v>10830</v>
      </c>
    </row>
    <row r="1099" spans="2:13" ht="15" customHeight="1" x14ac:dyDescent="0.3">
      <c r="B1099" s="155">
        <v>12</v>
      </c>
      <c r="E1099" s="151">
        <v>6</v>
      </c>
      <c r="F1099" s="152" t="s">
        <v>264</v>
      </c>
      <c r="G1099" s="152" t="s">
        <v>664</v>
      </c>
      <c r="H1099" s="153">
        <v>271.51</v>
      </c>
      <c r="I1099" s="153">
        <v>0</v>
      </c>
      <c r="J1099" s="154">
        <f t="shared" si="37"/>
        <v>271.51</v>
      </c>
      <c r="M1099" s="52">
        <v>10782</v>
      </c>
    </row>
    <row r="1100" spans="2:13" ht="15" customHeight="1" x14ac:dyDescent="0.3">
      <c r="B1100" s="155">
        <v>12</v>
      </c>
      <c r="E1100" s="151">
        <v>6</v>
      </c>
      <c r="F1100" s="152" t="s">
        <v>264</v>
      </c>
      <c r="G1100" s="152" t="s">
        <v>665</v>
      </c>
      <c r="H1100" s="153">
        <v>1653.28</v>
      </c>
      <c r="I1100" s="153">
        <v>0</v>
      </c>
      <c r="J1100" s="154">
        <f t="shared" si="37"/>
        <v>1653.28</v>
      </c>
      <c r="M1100" s="52">
        <v>10783</v>
      </c>
    </row>
    <row r="1101" spans="2:13" ht="15" customHeight="1" x14ac:dyDescent="0.3">
      <c r="B1101" s="155">
        <v>12</v>
      </c>
      <c r="E1101" s="151">
        <v>6</v>
      </c>
      <c r="F1101" s="152" t="s">
        <v>264</v>
      </c>
      <c r="G1101" s="152" t="s">
        <v>666</v>
      </c>
      <c r="H1101" s="153">
        <v>321.77</v>
      </c>
      <c r="I1101" s="153">
        <v>0</v>
      </c>
      <c r="J1101" s="154">
        <f t="shared" si="37"/>
        <v>321.77</v>
      </c>
      <c r="M1101" s="52">
        <v>10784</v>
      </c>
    </row>
    <row r="1102" spans="2:13" ht="15" customHeight="1" x14ac:dyDescent="0.3">
      <c r="B1102" s="155">
        <v>12</v>
      </c>
      <c r="E1102" s="151">
        <v>6</v>
      </c>
      <c r="F1102" s="152" t="s">
        <v>264</v>
      </c>
      <c r="G1102" s="152" t="s">
        <v>667</v>
      </c>
      <c r="H1102" s="153">
        <v>749.21</v>
      </c>
      <c r="I1102" s="153">
        <v>0</v>
      </c>
      <c r="J1102" s="154">
        <f t="shared" si="37"/>
        <v>749.21</v>
      </c>
      <c r="M1102" s="52">
        <v>10785</v>
      </c>
    </row>
    <row r="1103" spans="2:13" ht="15" customHeight="1" x14ac:dyDescent="0.3">
      <c r="B1103" s="155">
        <v>12</v>
      </c>
      <c r="E1103" s="151">
        <v>6</v>
      </c>
      <c r="F1103" s="152" t="s">
        <v>264</v>
      </c>
      <c r="G1103" s="152" t="s">
        <v>668</v>
      </c>
      <c r="H1103" s="153">
        <v>135.31</v>
      </c>
      <c r="I1103" s="153">
        <v>0</v>
      </c>
      <c r="J1103" s="154">
        <f t="shared" si="37"/>
        <v>135.31</v>
      </c>
      <c r="M1103" s="52">
        <v>10787</v>
      </c>
    </row>
    <row r="1104" spans="2:13" ht="15" customHeight="1" x14ac:dyDescent="0.3">
      <c r="B1104" s="155">
        <v>12</v>
      </c>
      <c r="E1104" s="151">
        <v>6</v>
      </c>
      <c r="F1104" s="152" t="s">
        <v>264</v>
      </c>
      <c r="G1104" s="152" t="s">
        <v>669</v>
      </c>
      <c r="H1104" s="153">
        <v>622.80999999999995</v>
      </c>
      <c r="I1104" s="153">
        <v>0</v>
      </c>
      <c r="J1104" s="154">
        <f t="shared" si="37"/>
        <v>622.80999999999995</v>
      </c>
      <c r="M1104" s="52">
        <v>10788</v>
      </c>
    </row>
    <row r="1105" spans="2:14" ht="15" customHeight="1" x14ac:dyDescent="0.3">
      <c r="B1105" s="155">
        <v>12</v>
      </c>
      <c r="E1105" s="151">
        <v>6</v>
      </c>
      <c r="F1105" s="152" t="s">
        <v>264</v>
      </c>
      <c r="G1105" s="152" t="s">
        <v>670</v>
      </c>
      <c r="H1105" s="153">
        <v>-1863.84</v>
      </c>
      <c r="I1105" s="153">
        <v>0</v>
      </c>
      <c r="J1105" s="154">
        <f t="shared" si="37"/>
        <v>-1863.84</v>
      </c>
      <c r="M1105" s="52">
        <v>10687</v>
      </c>
    </row>
    <row r="1106" spans="2:14" ht="15" customHeight="1" x14ac:dyDescent="0.3">
      <c r="B1106" s="155">
        <v>12</v>
      </c>
      <c r="E1106" s="151">
        <v>6</v>
      </c>
      <c r="F1106" s="152" t="s">
        <v>671</v>
      </c>
      <c r="G1106" s="152" t="s">
        <v>672</v>
      </c>
      <c r="H1106" s="153">
        <v>52002.26</v>
      </c>
      <c r="I1106" s="153">
        <v>0</v>
      </c>
      <c r="J1106" s="154">
        <f t="shared" si="37"/>
        <v>52002.26</v>
      </c>
      <c r="M1106" s="52">
        <v>10857</v>
      </c>
    </row>
    <row r="1107" spans="2:14" ht="15" customHeight="1" x14ac:dyDescent="0.3">
      <c r="B1107" s="155">
        <v>12</v>
      </c>
      <c r="E1107" s="151">
        <v>6</v>
      </c>
      <c r="F1107" s="152" t="s">
        <v>657</v>
      </c>
      <c r="G1107" s="152" t="s">
        <v>608</v>
      </c>
      <c r="H1107" s="153">
        <v>4450</v>
      </c>
      <c r="I1107" s="153">
        <v>0</v>
      </c>
      <c r="J1107" s="154">
        <f t="shared" si="37"/>
        <v>4450</v>
      </c>
      <c r="M1107" s="52">
        <v>10858</v>
      </c>
    </row>
    <row r="1108" spans="2:14" ht="15" customHeight="1" x14ac:dyDescent="0.3">
      <c r="B1108" s="155">
        <v>12</v>
      </c>
      <c r="E1108" s="151">
        <v>7</v>
      </c>
      <c r="F1108" s="152" t="s">
        <v>509</v>
      </c>
      <c r="G1108" s="152" t="s">
        <v>673</v>
      </c>
      <c r="H1108" s="153">
        <v>753.42</v>
      </c>
      <c r="I1108" s="153">
        <v>0</v>
      </c>
      <c r="J1108" s="154">
        <f t="shared" si="37"/>
        <v>753.42</v>
      </c>
      <c r="M1108" s="52">
        <v>10777</v>
      </c>
    </row>
    <row r="1109" spans="2:14" ht="15" customHeight="1" x14ac:dyDescent="0.3">
      <c r="B1109" s="155">
        <v>12</v>
      </c>
      <c r="E1109" s="151">
        <v>7</v>
      </c>
      <c r="F1109" s="152" t="s">
        <v>674</v>
      </c>
      <c r="G1109" s="152" t="s">
        <v>675</v>
      </c>
      <c r="H1109" s="153">
        <v>33333.333333333299</v>
      </c>
      <c r="I1109" s="153">
        <v>3333.3333333333303</v>
      </c>
      <c r="J1109" s="154">
        <f t="shared" si="37"/>
        <v>29999.999999999971</v>
      </c>
      <c r="M1109" s="52">
        <v>10847</v>
      </c>
      <c r="N1109" s="156" t="s">
        <v>694</v>
      </c>
    </row>
    <row r="1110" spans="2:14" ht="15" customHeight="1" x14ac:dyDescent="0.3">
      <c r="B1110" s="155">
        <v>12</v>
      </c>
      <c r="E1110" s="151">
        <v>7</v>
      </c>
      <c r="F1110" s="152" t="s">
        <v>579</v>
      </c>
      <c r="G1110" s="152" t="s">
        <v>580</v>
      </c>
      <c r="H1110" s="153">
        <v>1083.0733333333333</v>
      </c>
      <c r="I1110" s="153">
        <v>0</v>
      </c>
      <c r="J1110" s="154">
        <f t="shared" si="37"/>
        <v>1083.0733333333333</v>
      </c>
      <c r="M1110" s="52">
        <v>10833</v>
      </c>
    </row>
    <row r="1111" spans="2:14" ht="15" customHeight="1" x14ac:dyDescent="0.3">
      <c r="B1111" s="155">
        <v>12</v>
      </c>
      <c r="E1111" s="151">
        <v>8</v>
      </c>
      <c r="F1111" s="152" t="s">
        <v>565</v>
      </c>
      <c r="G1111" s="152" t="s">
        <v>566</v>
      </c>
      <c r="H1111" s="153">
        <v>12000</v>
      </c>
      <c r="I1111" s="153">
        <v>0</v>
      </c>
      <c r="J1111" s="154">
        <f t="shared" si="37"/>
        <v>12000</v>
      </c>
      <c r="M1111" s="52">
        <v>10855</v>
      </c>
    </row>
    <row r="1112" spans="2:14" ht="15" customHeight="1" x14ac:dyDescent="0.3">
      <c r="B1112" s="155">
        <v>12</v>
      </c>
      <c r="E1112" s="151">
        <v>8</v>
      </c>
      <c r="F1112" s="152" t="s">
        <v>565</v>
      </c>
      <c r="G1112" s="152" t="s">
        <v>566</v>
      </c>
      <c r="H1112" s="153">
        <v>8200</v>
      </c>
      <c r="I1112" s="153">
        <v>0</v>
      </c>
      <c r="J1112" s="154">
        <f t="shared" si="37"/>
        <v>8200</v>
      </c>
      <c r="M1112" s="52">
        <v>10856</v>
      </c>
    </row>
    <row r="1113" spans="2:14" ht="15" customHeight="1" x14ac:dyDescent="0.3">
      <c r="B1113" s="155">
        <v>12</v>
      </c>
      <c r="E1113" s="151">
        <v>9</v>
      </c>
      <c r="F1113" s="152" t="s">
        <v>676</v>
      </c>
      <c r="G1113" s="152" t="s">
        <v>677</v>
      </c>
      <c r="H1113" s="153">
        <v>161.75</v>
      </c>
      <c r="I1113" s="153">
        <v>0</v>
      </c>
      <c r="J1113" s="154">
        <f t="shared" si="37"/>
        <v>161.75</v>
      </c>
      <c r="M1113" s="52">
        <v>10812</v>
      </c>
    </row>
    <row r="1114" spans="2:14" ht="15" customHeight="1" x14ac:dyDescent="0.3">
      <c r="B1114" s="155">
        <v>12</v>
      </c>
      <c r="E1114" s="151">
        <v>9</v>
      </c>
      <c r="F1114" s="152" t="s">
        <v>676</v>
      </c>
      <c r="G1114" s="152" t="s">
        <v>678</v>
      </c>
      <c r="H1114" s="153">
        <v>198.23</v>
      </c>
      <c r="I1114" s="153">
        <v>0</v>
      </c>
      <c r="J1114" s="154">
        <f t="shared" si="37"/>
        <v>198.23</v>
      </c>
      <c r="M1114" s="52">
        <v>10813</v>
      </c>
    </row>
    <row r="1115" spans="2:14" ht="15" customHeight="1" x14ac:dyDescent="0.3">
      <c r="B1115" s="155">
        <v>12</v>
      </c>
      <c r="E1115" s="151">
        <v>9</v>
      </c>
      <c r="F1115" s="152" t="s">
        <v>676</v>
      </c>
      <c r="G1115" s="152" t="s">
        <v>679</v>
      </c>
      <c r="H1115" s="153">
        <v>85.36</v>
      </c>
      <c r="I1115" s="153">
        <v>0</v>
      </c>
      <c r="J1115" s="154">
        <f t="shared" si="37"/>
        <v>85.36</v>
      </c>
      <c r="M1115" s="52">
        <v>10814</v>
      </c>
    </row>
    <row r="1116" spans="2:14" ht="15" customHeight="1" x14ac:dyDescent="0.3">
      <c r="B1116" s="155">
        <v>12</v>
      </c>
      <c r="E1116" s="151">
        <v>9</v>
      </c>
      <c r="F1116" s="152" t="s">
        <v>676</v>
      </c>
      <c r="G1116" s="152" t="s">
        <v>680</v>
      </c>
      <c r="H1116" s="153">
        <v>537.79999999999995</v>
      </c>
      <c r="I1116" s="153">
        <v>0</v>
      </c>
      <c r="J1116" s="154">
        <f t="shared" si="37"/>
        <v>537.79999999999995</v>
      </c>
      <c r="M1116" s="52">
        <v>10815</v>
      </c>
    </row>
    <row r="1117" spans="2:14" ht="15" customHeight="1" x14ac:dyDescent="0.3">
      <c r="B1117" s="155">
        <v>12</v>
      </c>
      <c r="E1117" s="151">
        <v>9</v>
      </c>
      <c r="F1117" s="152" t="s">
        <v>681</v>
      </c>
      <c r="G1117" s="152" t="s">
        <v>682</v>
      </c>
      <c r="H1117" s="153">
        <v>4200</v>
      </c>
      <c r="I1117" s="153">
        <v>0</v>
      </c>
      <c r="J1117" s="154">
        <f t="shared" ref="J1117:J1170" si="38">H1117-I1117</f>
        <v>4200</v>
      </c>
      <c r="M1117" s="52">
        <v>10841</v>
      </c>
    </row>
    <row r="1118" spans="2:14" ht="15" customHeight="1" x14ac:dyDescent="0.3">
      <c r="B1118" s="155">
        <v>12</v>
      </c>
      <c r="E1118" s="151">
        <v>15</v>
      </c>
      <c r="F1118" s="152" t="s">
        <v>683</v>
      </c>
      <c r="G1118" s="152" t="s">
        <v>684</v>
      </c>
      <c r="H1118" s="153">
        <v>69612.22</v>
      </c>
      <c r="I1118" s="153">
        <v>6961.22</v>
      </c>
      <c r="J1118" s="154">
        <f t="shared" si="38"/>
        <v>62651</v>
      </c>
      <c r="M1118" s="52">
        <v>10854</v>
      </c>
    </row>
    <row r="1119" spans="2:14" ht="15" customHeight="1" x14ac:dyDescent="0.3">
      <c r="B1119" s="155">
        <v>12</v>
      </c>
      <c r="E1119" s="151">
        <v>15</v>
      </c>
      <c r="F1119" s="152" t="s">
        <v>305</v>
      </c>
      <c r="G1119" s="152" t="s">
        <v>363</v>
      </c>
      <c r="H1119" s="153">
        <v>855</v>
      </c>
      <c r="I1119" s="153">
        <v>0</v>
      </c>
      <c r="J1119" s="154">
        <f t="shared" si="38"/>
        <v>855</v>
      </c>
      <c r="M1119" s="52">
        <v>10794</v>
      </c>
    </row>
    <row r="1120" spans="2:14" ht="15" customHeight="1" x14ac:dyDescent="0.3">
      <c r="B1120" s="155">
        <v>12</v>
      </c>
      <c r="E1120" s="151">
        <v>15</v>
      </c>
      <c r="F1120" s="152" t="s">
        <v>305</v>
      </c>
      <c r="G1120" s="152" t="s">
        <v>363</v>
      </c>
      <c r="H1120" s="153">
        <v>150</v>
      </c>
      <c r="I1120" s="153">
        <v>0</v>
      </c>
      <c r="J1120" s="154">
        <f t="shared" si="38"/>
        <v>150</v>
      </c>
      <c r="M1120" s="52">
        <v>10795</v>
      </c>
    </row>
    <row r="1121" spans="2:13" ht="15" customHeight="1" x14ac:dyDescent="0.3">
      <c r="B1121" s="155">
        <v>12</v>
      </c>
      <c r="E1121" s="151">
        <v>15</v>
      </c>
      <c r="F1121" s="152" t="s">
        <v>305</v>
      </c>
      <c r="G1121" s="152" t="s">
        <v>363</v>
      </c>
      <c r="H1121" s="153">
        <v>1068.75</v>
      </c>
      <c r="I1121" s="153">
        <v>0</v>
      </c>
      <c r="J1121" s="154">
        <f t="shared" si="38"/>
        <v>1068.75</v>
      </c>
      <c r="M1121" s="52">
        <v>10796</v>
      </c>
    </row>
    <row r="1122" spans="2:13" ht="15" customHeight="1" x14ac:dyDescent="0.3">
      <c r="B1122" s="155">
        <v>12</v>
      </c>
      <c r="E1122" s="151">
        <v>15</v>
      </c>
      <c r="F1122" s="152" t="s">
        <v>305</v>
      </c>
      <c r="G1122" s="152" t="s">
        <v>363</v>
      </c>
      <c r="H1122" s="153">
        <v>681.25</v>
      </c>
      <c r="I1122" s="153">
        <v>0</v>
      </c>
      <c r="J1122" s="154">
        <f t="shared" si="38"/>
        <v>681.25</v>
      </c>
      <c r="M1122" s="52">
        <v>10797</v>
      </c>
    </row>
    <row r="1123" spans="2:13" ht="15" customHeight="1" x14ac:dyDescent="0.3">
      <c r="B1123" s="155">
        <v>12</v>
      </c>
      <c r="E1123" s="151">
        <v>15</v>
      </c>
      <c r="F1123" s="152" t="s">
        <v>305</v>
      </c>
      <c r="G1123" s="152" t="s">
        <v>363</v>
      </c>
      <c r="H1123" s="153">
        <v>465</v>
      </c>
      <c r="I1123" s="153">
        <v>0</v>
      </c>
      <c r="J1123" s="154">
        <f t="shared" si="38"/>
        <v>465</v>
      </c>
      <c r="M1123" s="52">
        <v>10798</v>
      </c>
    </row>
    <row r="1124" spans="2:13" ht="15" customHeight="1" x14ac:dyDescent="0.3">
      <c r="B1124" s="155">
        <v>12</v>
      </c>
      <c r="E1124" s="151">
        <v>15</v>
      </c>
      <c r="F1124" s="152" t="s">
        <v>305</v>
      </c>
      <c r="G1124" s="152" t="s">
        <v>363</v>
      </c>
      <c r="H1124" s="153">
        <v>405</v>
      </c>
      <c r="I1124" s="153">
        <v>0</v>
      </c>
      <c r="J1124" s="154">
        <f t="shared" si="38"/>
        <v>405</v>
      </c>
      <c r="M1124" s="52">
        <v>10799</v>
      </c>
    </row>
    <row r="1125" spans="2:13" ht="15" customHeight="1" x14ac:dyDescent="0.3">
      <c r="B1125" s="155">
        <v>12</v>
      </c>
      <c r="E1125" s="151">
        <v>15</v>
      </c>
      <c r="F1125" s="152" t="s">
        <v>305</v>
      </c>
      <c r="G1125" s="152" t="s">
        <v>363</v>
      </c>
      <c r="H1125" s="153">
        <v>405</v>
      </c>
      <c r="I1125" s="153">
        <v>0</v>
      </c>
      <c r="J1125" s="154">
        <f t="shared" si="38"/>
        <v>405</v>
      </c>
      <c r="M1125" s="52">
        <v>10800</v>
      </c>
    </row>
    <row r="1126" spans="2:13" ht="15" customHeight="1" x14ac:dyDescent="0.3">
      <c r="B1126" s="155">
        <v>12</v>
      </c>
      <c r="E1126" s="151">
        <v>15</v>
      </c>
      <c r="F1126" s="152" t="s">
        <v>305</v>
      </c>
      <c r="G1126" s="152" t="s">
        <v>363</v>
      </c>
      <c r="H1126" s="153">
        <v>1045</v>
      </c>
      <c r="I1126" s="153">
        <v>0</v>
      </c>
      <c r="J1126" s="154">
        <f t="shared" si="38"/>
        <v>1045</v>
      </c>
      <c r="M1126" s="52">
        <v>10834</v>
      </c>
    </row>
    <row r="1127" spans="2:13" ht="15" customHeight="1" x14ac:dyDescent="0.3">
      <c r="B1127" s="155">
        <v>12</v>
      </c>
      <c r="E1127" s="151">
        <v>15</v>
      </c>
      <c r="F1127" s="152" t="s">
        <v>305</v>
      </c>
      <c r="G1127" s="152" t="s">
        <v>363</v>
      </c>
      <c r="H1127" s="153">
        <v>712.5</v>
      </c>
      <c r="I1127" s="153">
        <v>0</v>
      </c>
      <c r="J1127" s="154">
        <f t="shared" si="38"/>
        <v>712.5</v>
      </c>
      <c r="M1127" s="52">
        <v>10835</v>
      </c>
    </row>
    <row r="1128" spans="2:13" ht="15" customHeight="1" x14ac:dyDescent="0.3">
      <c r="B1128" s="155">
        <v>12</v>
      </c>
      <c r="E1128" s="151">
        <v>15</v>
      </c>
      <c r="F1128" s="152" t="s">
        <v>305</v>
      </c>
      <c r="G1128" s="152" t="s">
        <v>363</v>
      </c>
      <c r="H1128" s="153">
        <v>1500</v>
      </c>
      <c r="I1128" s="153">
        <v>0</v>
      </c>
      <c r="J1128" s="154">
        <f t="shared" si="38"/>
        <v>1500</v>
      </c>
      <c r="M1128" s="52">
        <v>10839</v>
      </c>
    </row>
    <row r="1129" spans="2:13" ht="15" customHeight="1" x14ac:dyDescent="0.3">
      <c r="B1129" s="155">
        <v>12</v>
      </c>
      <c r="E1129" s="151">
        <v>15</v>
      </c>
      <c r="F1129" s="152" t="s">
        <v>305</v>
      </c>
      <c r="G1129" s="152" t="s">
        <v>363</v>
      </c>
      <c r="H1129" s="153">
        <v>315</v>
      </c>
      <c r="I1129" s="153">
        <v>0</v>
      </c>
      <c r="J1129" s="154">
        <f t="shared" si="38"/>
        <v>315</v>
      </c>
      <c r="M1129" s="52">
        <v>10852</v>
      </c>
    </row>
    <row r="1130" spans="2:13" ht="15" customHeight="1" x14ac:dyDescent="0.3">
      <c r="B1130" s="155">
        <v>12</v>
      </c>
      <c r="E1130" s="151">
        <v>15</v>
      </c>
      <c r="F1130" s="152" t="s">
        <v>305</v>
      </c>
      <c r="G1130" s="152" t="s">
        <v>363</v>
      </c>
      <c r="H1130" s="153">
        <v>641.25</v>
      </c>
      <c r="I1130" s="153">
        <v>0</v>
      </c>
      <c r="J1130" s="154">
        <f t="shared" si="38"/>
        <v>641.25</v>
      </c>
      <c r="M1130" s="52">
        <v>10853</v>
      </c>
    </row>
    <row r="1131" spans="2:13" ht="15" customHeight="1" x14ac:dyDescent="0.3">
      <c r="B1131" s="155">
        <v>12</v>
      </c>
      <c r="E1131" s="151">
        <v>15</v>
      </c>
      <c r="F1131" s="152" t="s">
        <v>579</v>
      </c>
      <c r="G1131" s="152" t="s">
        <v>580</v>
      </c>
      <c r="H1131" s="153">
        <v>1083.0733333333333</v>
      </c>
      <c r="I1131" s="153">
        <v>0</v>
      </c>
      <c r="J1131" s="154">
        <f t="shared" si="38"/>
        <v>1083.0733333333333</v>
      </c>
      <c r="M1131" s="52">
        <v>10833</v>
      </c>
    </row>
    <row r="1132" spans="2:13" ht="15" customHeight="1" x14ac:dyDescent="0.3">
      <c r="B1132" s="155">
        <v>12</v>
      </c>
      <c r="E1132" s="151">
        <v>16</v>
      </c>
      <c r="F1132" s="152" t="s">
        <v>275</v>
      </c>
      <c r="G1132" s="152" t="s">
        <v>331</v>
      </c>
      <c r="H1132" s="153">
        <v>2259.56</v>
      </c>
      <c r="I1132" s="153">
        <v>0</v>
      </c>
      <c r="J1132" s="154">
        <f t="shared" si="38"/>
        <v>2259.56</v>
      </c>
      <c r="M1132" s="52">
        <v>10732</v>
      </c>
    </row>
    <row r="1133" spans="2:13" ht="15" customHeight="1" x14ac:dyDescent="0.3">
      <c r="B1133" s="155">
        <v>12</v>
      </c>
      <c r="E1133" s="151">
        <v>16</v>
      </c>
      <c r="F1133" s="152" t="s">
        <v>275</v>
      </c>
      <c r="G1133" s="152" t="s">
        <v>331</v>
      </c>
      <c r="H1133" s="153">
        <v>907.52</v>
      </c>
      <c r="I1133" s="153">
        <v>0</v>
      </c>
      <c r="J1133" s="154">
        <f t="shared" si="38"/>
        <v>907.52</v>
      </c>
      <c r="M1133" s="52">
        <v>10733</v>
      </c>
    </row>
    <row r="1134" spans="2:13" ht="15" customHeight="1" x14ac:dyDescent="0.3">
      <c r="B1134" s="155">
        <v>12</v>
      </c>
      <c r="E1134" s="151">
        <v>16</v>
      </c>
      <c r="F1134" s="152" t="s">
        <v>275</v>
      </c>
      <c r="G1134" s="152" t="s">
        <v>331</v>
      </c>
      <c r="H1134" s="153">
        <v>3006.12</v>
      </c>
      <c r="I1134" s="153">
        <v>0</v>
      </c>
      <c r="J1134" s="154">
        <f t="shared" si="38"/>
        <v>3006.12</v>
      </c>
      <c r="M1134" s="52">
        <v>10734</v>
      </c>
    </row>
    <row r="1135" spans="2:13" ht="15" customHeight="1" x14ac:dyDescent="0.3">
      <c r="B1135" s="155">
        <v>12</v>
      </c>
      <c r="E1135" s="151">
        <v>16</v>
      </c>
      <c r="F1135" s="152" t="s">
        <v>275</v>
      </c>
      <c r="G1135" s="152" t="s">
        <v>331</v>
      </c>
      <c r="H1135" s="153">
        <v>607.29999999999995</v>
      </c>
      <c r="I1135" s="153">
        <v>0</v>
      </c>
      <c r="J1135" s="154">
        <f t="shared" si="38"/>
        <v>607.29999999999995</v>
      </c>
      <c r="M1135" s="52">
        <v>10735</v>
      </c>
    </row>
    <row r="1136" spans="2:13" ht="15" customHeight="1" x14ac:dyDescent="0.3">
      <c r="B1136" s="155">
        <v>12</v>
      </c>
      <c r="E1136" s="151">
        <v>16</v>
      </c>
      <c r="F1136" s="152" t="s">
        <v>275</v>
      </c>
      <c r="G1136" s="152" t="s">
        <v>331</v>
      </c>
      <c r="H1136" s="153">
        <v>607.26</v>
      </c>
      <c r="I1136" s="153">
        <v>0</v>
      </c>
      <c r="J1136" s="154">
        <f t="shared" si="38"/>
        <v>607.26</v>
      </c>
      <c r="M1136" s="52">
        <v>10736</v>
      </c>
    </row>
    <row r="1137" spans="2:13" ht="15" customHeight="1" x14ac:dyDescent="0.3">
      <c r="B1137" s="155">
        <v>12</v>
      </c>
      <c r="E1137" s="151">
        <v>16</v>
      </c>
      <c r="F1137" s="152" t="s">
        <v>275</v>
      </c>
      <c r="G1137" s="152" t="s">
        <v>331</v>
      </c>
      <c r="H1137" s="153">
        <v>215.96</v>
      </c>
      <c r="I1137" s="153">
        <v>0</v>
      </c>
      <c r="J1137" s="154">
        <f t="shared" si="38"/>
        <v>215.96</v>
      </c>
      <c r="M1137" s="52">
        <v>10737</v>
      </c>
    </row>
    <row r="1138" spans="2:13" ht="15" customHeight="1" x14ac:dyDescent="0.3">
      <c r="B1138" s="155">
        <v>12</v>
      </c>
      <c r="E1138" s="151">
        <v>16</v>
      </c>
      <c r="F1138" s="152" t="s">
        <v>275</v>
      </c>
      <c r="G1138" s="152" t="s">
        <v>331</v>
      </c>
      <c r="H1138" s="153">
        <v>41.2</v>
      </c>
      <c r="I1138" s="153">
        <v>0</v>
      </c>
      <c r="J1138" s="154">
        <f t="shared" si="38"/>
        <v>41.2</v>
      </c>
      <c r="M1138" s="52">
        <v>10738</v>
      </c>
    </row>
    <row r="1139" spans="2:13" ht="15" customHeight="1" x14ac:dyDescent="0.3">
      <c r="B1139" s="155">
        <v>12</v>
      </c>
      <c r="E1139" s="151">
        <v>16</v>
      </c>
      <c r="F1139" s="152" t="s">
        <v>275</v>
      </c>
      <c r="G1139" s="152" t="s">
        <v>331</v>
      </c>
      <c r="H1139" s="153">
        <v>4.8099999999999996</v>
      </c>
      <c r="I1139" s="153">
        <v>0</v>
      </c>
      <c r="J1139" s="154">
        <f t="shared" si="38"/>
        <v>4.8099999999999996</v>
      </c>
      <c r="M1139" s="52">
        <v>10739</v>
      </c>
    </row>
    <row r="1140" spans="2:13" ht="15" customHeight="1" x14ac:dyDescent="0.3">
      <c r="B1140" s="155">
        <v>12</v>
      </c>
      <c r="E1140" s="151">
        <v>16</v>
      </c>
      <c r="F1140" s="152" t="s">
        <v>275</v>
      </c>
      <c r="G1140" s="152" t="s">
        <v>685</v>
      </c>
      <c r="H1140" s="153">
        <v>-640.04999999999995</v>
      </c>
      <c r="I1140" s="153">
        <v>0</v>
      </c>
      <c r="J1140" s="154">
        <f t="shared" si="38"/>
        <v>-640.04999999999995</v>
      </c>
      <c r="M1140" s="52">
        <v>10740</v>
      </c>
    </row>
    <row r="1141" spans="2:13" ht="15" customHeight="1" x14ac:dyDescent="0.3">
      <c r="B1141" s="155">
        <v>12</v>
      </c>
      <c r="E1141" s="151">
        <v>16</v>
      </c>
      <c r="F1141" s="152" t="s">
        <v>275</v>
      </c>
      <c r="G1141" s="152" t="s">
        <v>685</v>
      </c>
      <c r="H1141" s="153">
        <v>-1267.8900000000001</v>
      </c>
      <c r="I1141" s="153">
        <v>0</v>
      </c>
      <c r="J1141" s="154">
        <f t="shared" si="38"/>
        <v>-1267.8900000000001</v>
      </c>
      <c r="M1141" s="52">
        <v>10741</v>
      </c>
    </row>
    <row r="1142" spans="2:13" ht="15" customHeight="1" x14ac:dyDescent="0.3">
      <c r="B1142" s="155">
        <v>12</v>
      </c>
      <c r="E1142" s="151">
        <v>16</v>
      </c>
      <c r="F1142" s="152" t="s">
        <v>275</v>
      </c>
      <c r="G1142" s="152" t="s">
        <v>331</v>
      </c>
      <c r="H1142" s="153">
        <v>10.99</v>
      </c>
      <c r="I1142" s="153">
        <v>0</v>
      </c>
      <c r="J1142" s="154">
        <f t="shared" si="38"/>
        <v>10.99</v>
      </c>
      <c r="M1142" s="52">
        <v>10742</v>
      </c>
    </row>
    <row r="1143" spans="2:13" ht="15" customHeight="1" x14ac:dyDescent="0.3">
      <c r="B1143" s="155">
        <v>12</v>
      </c>
      <c r="E1143" s="151">
        <v>16</v>
      </c>
      <c r="F1143" s="152" t="s">
        <v>275</v>
      </c>
      <c r="G1143" s="152" t="s">
        <v>331</v>
      </c>
      <c r="H1143" s="153">
        <v>28.49</v>
      </c>
      <c r="I1143" s="153">
        <v>0</v>
      </c>
      <c r="J1143" s="154">
        <f t="shared" si="38"/>
        <v>28.49</v>
      </c>
      <c r="M1143" s="52">
        <v>10743</v>
      </c>
    </row>
    <row r="1144" spans="2:13" ht="15" customHeight="1" x14ac:dyDescent="0.3">
      <c r="B1144" s="155">
        <v>12</v>
      </c>
      <c r="E1144" s="151">
        <v>16</v>
      </c>
      <c r="F1144" s="152" t="s">
        <v>275</v>
      </c>
      <c r="G1144" s="152" t="s">
        <v>331</v>
      </c>
      <c r="H1144" s="153">
        <v>1669.52</v>
      </c>
      <c r="I1144" s="153">
        <v>0</v>
      </c>
      <c r="J1144" s="154">
        <f t="shared" si="38"/>
        <v>1669.52</v>
      </c>
      <c r="M1144" s="52">
        <v>10744</v>
      </c>
    </row>
    <row r="1145" spans="2:13" ht="15" customHeight="1" x14ac:dyDescent="0.3">
      <c r="B1145" s="155">
        <v>12</v>
      </c>
      <c r="E1145" s="151">
        <v>16</v>
      </c>
      <c r="F1145" s="152" t="s">
        <v>275</v>
      </c>
      <c r="G1145" s="152" t="s">
        <v>331</v>
      </c>
      <c r="H1145" s="153">
        <v>63.33</v>
      </c>
      <c r="I1145" s="153">
        <v>0</v>
      </c>
      <c r="J1145" s="154">
        <f t="shared" si="38"/>
        <v>63.33</v>
      </c>
      <c r="M1145" s="52">
        <v>10745</v>
      </c>
    </row>
    <row r="1146" spans="2:13" ht="15" customHeight="1" x14ac:dyDescent="0.3">
      <c r="B1146" s="155">
        <v>12</v>
      </c>
      <c r="E1146" s="151">
        <v>16</v>
      </c>
      <c r="F1146" s="152" t="s">
        <v>275</v>
      </c>
      <c r="G1146" s="152" t="s">
        <v>331</v>
      </c>
      <c r="H1146" s="153">
        <v>1461.38</v>
      </c>
      <c r="I1146" s="153">
        <v>0</v>
      </c>
      <c r="J1146" s="154">
        <f t="shared" si="38"/>
        <v>1461.38</v>
      </c>
      <c r="M1146" s="52">
        <v>10746</v>
      </c>
    </row>
    <row r="1147" spans="2:13" ht="15" customHeight="1" x14ac:dyDescent="0.3">
      <c r="B1147" s="155">
        <v>12</v>
      </c>
      <c r="E1147" s="151">
        <v>16</v>
      </c>
      <c r="F1147" s="152" t="s">
        <v>275</v>
      </c>
      <c r="G1147" s="152" t="s">
        <v>331</v>
      </c>
      <c r="H1147" s="153">
        <v>171.16</v>
      </c>
      <c r="I1147" s="153">
        <v>0</v>
      </c>
      <c r="J1147" s="154">
        <f t="shared" si="38"/>
        <v>171.16</v>
      </c>
      <c r="M1147" s="52">
        <v>10747</v>
      </c>
    </row>
    <row r="1148" spans="2:13" ht="15" customHeight="1" x14ac:dyDescent="0.3">
      <c r="B1148" s="155">
        <v>12</v>
      </c>
      <c r="E1148" s="151">
        <v>16</v>
      </c>
      <c r="F1148" s="152" t="s">
        <v>275</v>
      </c>
      <c r="G1148" s="152" t="s">
        <v>331</v>
      </c>
      <c r="H1148" s="153">
        <v>1007.43</v>
      </c>
      <c r="I1148" s="153">
        <v>0</v>
      </c>
      <c r="J1148" s="154">
        <f t="shared" si="38"/>
        <v>1007.43</v>
      </c>
      <c r="M1148" s="52">
        <v>10748</v>
      </c>
    </row>
    <row r="1149" spans="2:13" ht="15" customHeight="1" x14ac:dyDescent="0.3">
      <c r="B1149" s="155">
        <v>12</v>
      </c>
      <c r="E1149" s="151">
        <v>16</v>
      </c>
      <c r="F1149" s="152" t="s">
        <v>275</v>
      </c>
      <c r="G1149" s="152" t="s">
        <v>331</v>
      </c>
      <c r="H1149" s="153">
        <v>1217.25</v>
      </c>
      <c r="I1149" s="153">
        <v>0</v>
      </c>
      <c r="J1149" s="154">
        <f t="shared" si="38"/>
        <v>1217.25</v>
      </c>
      <c r="M1149" s="52">
        <v>10749</v>
      </c>
    </row>
    <row r="1150" spans="2:13" ht="15" customHeight="1" x14ac:dyDescent="0.3">
      <c r="B1150" s="155">
        <v>12</v>
      </c>
      <c r="E1150" s="151">
        <v>16</v>
      </c>
      <c r="F1150" s="152" t="s">
        <v>275</v>
      </c>
      <c r="G1150" s="152" t="s">
        <v>331</v>
      </c>
      <c r="H1150" s="153">
        <v>2027.07</v>
      </c>
      <c r="I1150" s="153">
        <v>0</v>
      </c>
      <c r="J1150" s="154">
        <f t="shared" si="38"/>
        <v>2027.07</v>
      </c>
      <c r="M1150" s="52">
        <v>10750</v>
      </c>
    </row>
    <row r="1151" spans="2:13" ht="15" customHeight="1" x14ac:dyDescent="0.3">
      <c r="B1151" s="155">
        <v>12</v>
      </c>
      <c r="E1151" s="151">
        <v>16</v>
      </c>
      <c r="F1151" s="152" t="s">
        <v>275</v>
      </c>
      <c r="G1151" s="152" t="s">
        <v>331</v>
      </c>
      <c r="H1151" s="153">
        <v>1231.8599999999999</v>
      </c>
      <c r="I1151" s="153">
        <v>0</v>
      </c>
      <c r="J1151" s="154">
        <f t="shared" si="38"/>
        <v>1231.8599999999999</v>
      </c>
      <c r="M1151" s="52">
        <v>10751</v>
      </c>
    </row>
    <row r="1152" spans="2:13" ht="15" customHeight="1" x14ac:dyDescent="0.3">
      <c r="B1152" s="155">
        <v>12</v>
      </c>
      <c r="E1152" s="151">
        <v>16</v>
      </c>
      <c r="F1152" s="152" t="s">
        <v>275</v>
      </c>
      <c r="G1152" s="152" t="s">
        <v>331</v>
      </c>
      <c r="H1152" s="153">
        <v>1456.31</v>
      </c>
      <c r="I1152" s="153">
        <v>0</v>
      </c>
      <c r="J1152" s="154">
        <f t="shared" si="38"/>
        <v>1456.31</v>
      </c>
      <c r="M1152" s="52">
        <v>10752</v>
      </c>
    </row>
    <row r="1153" spans="2:13" ht="15" customHeight="1" x14ac:dyDescent="0.3">
      <c r="B1153" s="155">
        <v>12</v>
      </c>
      <c r="E1153" s="151">
        <v>16</v>
      </c>
      <c r="F1153" s="152" t="s">
        <v>275</v>
      </c>
      <c r="G1153" s="152" t="s">
        <v>331</v>
      </c>
      <c r="H1153" s="153">
        <v>308.32</v>
      </c>
      <c r="I1153" s="153">
        <v>0</v>
      </c>
      <c r="J1153" s="154">
        <f t="shared" si="38"/>
        <v>308.32</v>
      </c>
      <c r="M1153" s="52">
        <v>10753</v>
      </c>
    </row>
    <row r="1154" spans="2:13" ht="15" customHeight="1" x14ac:dyDescent="0.3">
      <c r="B1154" s="155">
        <v>12</v>
      </c>
      <c r="E1154" s="151">
        <v>16</v>
      </c>
      <c r="F1154" s="152" t="s">
        <v>275</v>
      </c>
      <c r="G1154" s="152" t="s">
        <v>331</v>
      </c>
      <c r="H1154" s="153">
        <v>27.82</v>
      </c>
      <c r="I1154" s="153">
        <v>0</v>
      </c>
      <c r="J1154" s="154">
        <f t="shared" si="38"/>
        <v>27.82</v>
      </c>
      <c r="M1154" s="52">
        <v>10754</v>
      </c>
    </row>
    <row r="1155" spans="2:13" ht="15" customHeight="1" x14ac:dyDescent="0.3">
      <c r="B1155" s="155">
        <v>12</v>
      </c>
      <c r="E1155" s="151">
        <v>16</v>
      </c>
      <c r="F1155" s="152" t="s">
        <v>275</v>
      </c>
      <c r="G1155" s="152" t="s">
        <v>331</v>
      </c>
      <c r="H1155" s="153">
        <v>38688.379999999997</v>
      </c>
      <c r="I1155" s="153">
        <v>0</v>
      </c>
      <c r="J1155" s="154">
        <f t="shared" si="38"/>
        <v>38688.379999999997</v>
      </c>
      <c r="M1155" s="52">
        <v>10755</v>
      </c>
    </row>
    <row r="1156" spans="2:13" ht="15" customHeight="1" x14ac:dyDescent="0.3">
      <c r="B1156" s="155">
        <v>12</v>
      </c>
      <c r="E1156" s="151">
        <v>16</v>
      </c>
      <c r="F1156" s="152" t="s">
        <v>275</v>
      </c>
      <c r="G1156" s="152" t="s">
        <v>331</v>
      </c>
      <c r="H1156" s="153">
        <v>1727.37</v>
      </c>
      <c r="I1156" s="153">
        <v>0</v>
      </c>
      <c r="J1156" s="154">
        <f t="shared" si="38"/>
        <v>1727.37</v>
      </c>
      <c r="M1156" s="52">
        <v>10756</v>
      </c>
    </row>
    <row r="1157" spans="2:13" ht="15" customHeight="1" x14ac:dyDescent="0.3">
      <c r="B1157" s="155">
        <v>12</v>
      </c>
      <c r="E1157" s="151">
        <v>16</v>
      </c>
      <c r="F1157" s="152" t="s">
        <v>275</v>
      </c>
      <c r="G1157" s="152" t="s">
        <v>331</v>
      </c>
      <c r="H1157" s="153">
        <v>1061.9000000000001</v>
      </c>
      <c r="I1157" s="153">
        <v>0</v>
      </c>
      <c r="J1157" s="154">
        <f t="shared" si="38"/>
        <v>1061.9000000000001</v>
      </c>
      <c r="M1157" s="52">
        <v>10757</v>
      </c>
    </row>
    <row r="1158" spans="2:13" ht="15" customHeight="1" x14ac:dyDescent="0.3">
      <c r="B1158" s="155">
        <v>12</v>
      </c>
      <c r="E1158" s="151">
        <v>16</v>
      </c>
      <c r="F1158" s="152" t="s">
        <v>275</v>
      </c>
      <c r="G1158" s="152" t="s">
        <v>331</v>
      </c>
      <c r="H1158" s="153">
        <v>170.3</v>
      </c>
      <c r="I1158" s="153">
        <v>0</v>
      </c>
      <c r="J1158" s="154">
        <f t="shared" si="38"/>
        <v>170.3</v>
      </c>
      <c r="M1158" s="52">
        <v>10758</v>
      </c>
    </row>
    <row r="1159" spans="2:13" ht="15" customHeight="1" x14ac:dyDescent="0.3">
      <c r="B1159" s="155">
        <v>12</v>
      </c>
      <c r="E1159" s="151">
        <v>16</v>
      </c>
      <c r="F1159" s="152" t="s">
        <v>275</v>
      </c>
      <c r="G1159" s="152" t="s">
        <v>331</v>
      </c>
      <c r="H1159" s="153">
        <v>78.16</v>
      </c>
      <c r="I1159" s="153">
        <v>0</v>
      </c>
      <c r="J1159" s="154">
        <f t="shared" si="38"/>
        <v>78.16</v>
      </c>
      <c r="M1159" s="52">
        <v>10759</v>
      </c>
    </row>
    <row r="1160" spans="2:13" ht="15" customHeight="1" x14ac:dyDescent="0.3">
      <c r="B1160" s="155">
        <v>12</v>
      </c>
      <c r="E1160" s="151">
        <v>16</v>
      </c>
      <c r="F1160" s="152" t="s">
        <v>275</v>
      </c>
      <c r="G1160" s="152" t="s">
        <v>331</v>
      </c>
      <c r="H1160" s="153">
        <v>66.010000000000005</v>
      </c>
      <c r="I1160" s="153">
        <v>0</v>
      </c>
      <c r="J1160" s="154">
        <f t="shared" si="38"/>
        <v>66.010000000000005</v>
      </c>
      <c r="M1160" s="52">
        <v>10760</v>
      </c>
    </row>
    <row r="1161" spans="2:13" ht="15" customHeight="1" x14ac:dyDescent="0.3">
      <c r="B1161" s="155">
        <v>12</v>
      </c>
      <c r="E1161" s="151">
        <v>16</v>
      </c>
      <c r="F1161" s="152" t="s">
        <v>275</v>
      </c>
      <c r="G1161" s="152" t="s">
        <v>331</v>
      </c>
      <c r="H1161" s="153">
        <v>40.33</v>
      </c>
      <c r="I1161" s="153">
        <v>0</v>
      </c>
      <c r="J1161" s="154">
        <f t="shared" si="38"/>
        <v>40.33</v>
      </c>
      <c r="M1161" s="52">
        <v>10761</v>
      </c>
    </row>
    <row r="1162" spans="2:13" ht="15" customHeight="1" x14ac:dyDescent="0.3">
      <c r="B1162" s="155">
        <v>12</v>
      </c>
      <c r="E1162" s="151">
        <v>16</v>
      </c>
      <c r="F1162" s="152" t="s">
        <v>275</v>
      </c>
      <c r="G1162" s="152" t="s">
        <v>331</v>
      </c>
      <c r="H1162" s="153">
        <v>363.55</v>
      </c>
      <c r="I1162" s="153">
        <v>0</v>
      </c>
      <c r="J1162" s="154">
        <f t="shared" si="38"/>
        <v>363.55</v>
      </c>
      <c r="M1162" s="52">
        <v>10762</v>
      </c>
    </row>
    <row r="1163" spans="2:13" ht="15" customHeight="1" x14ac:dyDescent="0.3">
      <c r="B1163" s="155">
        <v>12</v>
      </c>
      <c r="E1163" s="151">
        <v>16</v>
      </c>
      <c r="F1163" s="152" t="s">
        <v>275</v>
      </c>
      <c r="G1163" s="152" t="s">
        <v>331</v>
      </c>
      <c r="H1163" s="153">
        <v>1016.46</v>
      </c>
      <c r="I1163" s="153">
        <v>0</v>
      </c>
      <c r="J1163" s="154">
        <f t="shared" si="38"/>
        <v>1016.46</v>
      </c>
      <c r="M1163" s="52">
        <v>10763</v>
      </c>
    </row>
    <row r="1164" spans="2:13" ht="15" customHeight="1" x14ac:dyDescent="0.3">
      <c r="B1164" s="155">
        <v>12</v>
      </c>
      <c r="E1164" s="151">
        <v>16</v>
      </c>
      <c r="F1164" s="152" t="s">
        <v>275</v>
      </c>
      <c r="G1164" s="152" t="s">
        <v>331</v>
      </c>
      <c r="H1164" s="153">
        <v>54.67</v>
      </c>
      <c r="I1164" s="153">
        <v>0</v>
      </c>
      <c r="J1164" s="154">
        <f t="shared" si="38"/>
        <v>54.67</v>
      </c>
      <c r="M1164" s="52">
        <v>10766</v>
      </c>
    </row>
    <row r="1165" spans="2:13" ht="15" customHeight="1" x14ac:dyDescent="0.3">
      <c r="B1165" s="155">
        <v>12</v>
      </c>
      <c r="E1165" s="151">
        <v>16</v>
      </c>
      <c r="F1165" s="152" t="s">
        <v>275</v>
      </c>
      <c r="G1165" s="152" t="s">
        <v>331</v>
      </c>
      <c r="H1165" s="153">
        <v>292.27999999999997</v>
      </c>
      <c r="I1165" s="153">
        <v>0</v>
      </c>
      <c r="J1165" s="154">
        <f t="shared" si="38"/>
        <v>292.27999999999997</v>
      </c>
      <c r="M1165" s="52">
        <v>10816</v>
      </c>
    </row>
    <row r="1166" spans="2:13" ht="15" customHeight="1" x14ac:dyDescent="0.3">
      <c r="B1166" s="155">
        <v>12</v>
      </c>
      <c r="E1166" s="151">
        <v>16</v>
      </c>
      <c r="F1166" s="152" t="s">
        <v>275</v>
      </c>
      <c r="G1166" s="152" t="s">
        <v>331</v>
      </c>
      <c r="H1166" s="153">
        <v>23.99</v>
      </c>
      <c r="I1166" s="153">
        <v>0</v>
      </c>
      <c r="J1166" s="154">
        <f t="shared" si="38"/>
        <v>23.99</v>
      </c>
      <c r="M1166" s="52">
        <v>10817</v>
      </c>
    </row>
    <row r="1167" spans="2:13" ht="15" customHeight="1" x14ac:dyDescent="0.3">
      <c r="B1167" s="155">
        <v>12</v>
      </c>
      <c r="E1167" s="151">
        <v>16</v>
      </c>
      <c r="F1167" s="152" t="s">
        <v>275</v>
      </c>
      <c r="G1167" s="152" t="s">
        <v>331</v>
      </c>
      <c r="H1167" s="153">
        <v>14.2</v>
      </c>
      <c r="I1167" s="153">
        <v>0</v>
      </c>
      <c r="J1167" s="154">
        <f t="shared" si="38"/>
        <v>14.2</v>
      </c>
      <c r="M1167" s="52">
        <v>10818</v>
      </c>
    </row>
    <row r="1168" spans="2:13" ht="15" customHeight="1" x14ac:dyDescent="0.3">
      <c r="B1168" s="155">
        <v>12</v>
      </c>
      <c r="E1168" s="151">
        <v>16</v>
      </c>
      <c r="F1168" s="152" t="s">
        <v>275</v>
      </c>
      <c r="G1168" s="152" t="s">
        <v>331</v>
      </c>
      <c r="H1168" s="153">
        <v>2196.0700000000002</v>
      </c>
      <c r="I1168" s="153">
        <v>0</v>
      </c>
      <c r="J1168" s="154">
        <f t="shared" si="38"/>
        <v>2196.0700000000002</v>
      </c>
      <c r="M1168" s="52">
        <v>10819</v>
      </c>
    </row>
    <row r="1169" spans="2:14" ht="15" customHeight="1" x14ac:dyDescent="0.3">
      <c r="B1169" s="155">
        <v>12</v>
      </c>
      <c r="E1169" s="151">
        <v>16</v>
      </c>
      <c r="F1169" s="152" t="s">
        <v>275</v>
      </c>
      <c r="G1169" s="152" t="s">
        <v>686</v>
      </c>
      <c r="H1169" s="153">
        <v>5500</v>
      </c>
      <c r="I1169" s="153">
        <v>550</v>
      </c>
      <c r="J1169" s="154">
        <f t="shared" si="38"/>
        <v>4950</v>
      </c>
      <c r="M1169" s="52">
        <v>10836</v>
      </c>
    </row>
    <row r="1170" spans="2:14" ht="15" customHeight="1" x14ac:dyDescent="0.3">
      <c r="B1170" s="155">
        <v>12</v>
      </c>
      <c r="E1170" s="151">
        <v>16</v>
      </c>
      <c r="F1170" s="152" t="s">
        <v>579</v>
      </c>
      <c r="G1170" s="152" t="s">
        <v>580</v>
      </c>
      <c r="H1170" s="153">
        <v>1083.0733333333333</v>
      </c>
      <c r="I1170" s="153">
        <v>0</v>
      </c>
      <c r="J1170" s="154">
        <f t="shared" si="38"/>
        <v>1083.0733333333333</v>
      </c>
      <c r="M1170" s="52">
        <v>10833</v>
      </c>
    </row>
    <row r="1171" spans="2:14" ht="15" customHeight="1" x14ac:dyDescent="0.3">
      <c r="B1171" s="135">
        <v>12</v>
      </c>
      <c r="E1171" s="151">
        <v>1</v>
      </c>
      <c r="F1171" s="152" t="s">
        <v>261</v>
      </c>
      <c r="G1171" s="152" t="s">
        <v>687</v>
      </c>
      <c r="H1171" s="153">
        <v>10000</v>
      </c>
      <c r="I1171" s="153">
        <v>0</v>
      </c>
      <c r="J1171" s="154">
        <f>H1171-I1171</f>
        <v>10000</v>
      </c>
      <c r="M1171" s="52" t="s">
        <v>535</v>
      </c>
    </row>
    <row r="1172" spans="2:14" ht="15" customHeight="1" x14ac:dyDescent="0.3">
      <c r="B1172" s="135">
        <v>12</v>
      </c>
      <c r="E1172" s="151">
        <v>1</v>
      </c>
      <c r="F1172" s="152" t="s">
        <v>169</v>
      </c>
      <c r="G1172" s="152" t="s">
        <v>688</v>
      </c>
      <c r="H1172" s="153">
        <v>3888.8888888888887</v>
      </c>
      <c r="I1172" s="153">
        <v>0</v>
      </c>
      <c r="J1172" s="154">
        <f t="shared" ref="J1172:J1235" si="39">H1172-I1172</f>
        <v>3888.8888888888887</v>
      </c>
      <c r="M1172" s="52" t="s">
        <v>535</v>
      </c>
    </row>
    <row r="1173" spans="2:14" ht="15" customHeight="1" x14ac:dyDescent="0.3">
      <c r="B1173" s="135">
        <v>12</v>
      </c>
      <c r="E1173" s="151">
        <v>1</v>
      </c>
      <c r="F1173" s="152" t="s">
        <v>172</v>
      </c>
      <c r="G1173" s="152" t="s">
        <v>688</v>
      </c>
      <c r="H1173" s="153">
        <v>3611.1111111111113</v>
      </c>
      <c r="I1173" s="153">
        <v>0</v>
      </c>
      <c r="J1173" s="154">
        <f t="shared" si="39"/>
        <v>3611.1111111111113</v>
      </c>
      <c r="M1173" s="52" t="s">
        <v>535</v>
      </c>
    </row>
    <row r="1174" spans="2:14" ht="15" customHeight="1" x14ac:dyDescent="0.3">
      <c r="B1174" s="135">
        <v>12</v>
      </c>
      <c r="E1174" s="151">
        <v>2</v>
      </c>
      <c r="F1174" s="152" t="s">
        <v>482</v>
      </c>
      <c r="G1174" s="152" t="s">
        <v>268</v>
      </c>
      <c r="H1174" s="153">
        <v>8886.0400000000009</v>
      </c>
      <c r="I1174" s="153">
        <v>0</v>
      </c>
      <c r="J1174" s="154">
        <f t="shared" si="39"/>
        <v>8886.0400000000009</v>
      </c>
      <c r="M1174" s="52">
        <v>10851</v>
      </c>
    </row>
    <row r="1175" spans="2:14" ht="15" customHeight="1" x14ac:dyDescent="0.3">
      <c r="B1175" s="135">
        <v>12</v>
      </c>
      <c r="E1175" s="151">
        <v>7</v>
      </c>
      <c r="F1175" s="152" t="s">
        <v>509</v>
      </c>
      <c r="G1175" s="152" t="s">
        <v>689</v>
      </c>
      <c r="H1175" s="153">
        <v>16171.810000000007</v>
      </c>
      <c r="I1175" s="153">
        <v>1532.2509999999997</v>
      </c>
      <c r="J1175" s="154">
        <f t="shared" si="39"/>
        <v>14639.559000000007</v>
      </c>
      <c r="M1175" s="52">
        <v>10848</v>
      </c>
    </row>
    <row r="1176" spans="2:14" ht="15" customHeight="1" x14ac:dyDescent="0.3">
      <c r="B1176" s="135">
        <v>12</v>
      </c>
      <c r="E1176" s="151">
        <v>7</v>
      </c>
      <c r="F1176" s="152" t="s">
        <v>674</v>
      </c>
      <c r="G1176" s="152" t="s">
        <v>690</v>
      </c>
      <c r="H1176" s="153">
        <v>16666.666666666701</v>
      </c>
      <c r="I1176" s="153">
        <v>1666.6666666666702</v>
      </c>
      <c r="J1176" s="154">
        <f t="shared" si="39"/>
        <v>15000.000000000031</v>
      </c>
      <c r="M1176" s="52">
        <v>10847</v>
      </c>
      <c r="N1176" s="156" t="s">
        <v>694</v>
      </c>
    </row>
    <row r="1177" spans="2:14" ht="15" customHeight="1" x14ac:dyDescent="0.3">
      <c r="B1177" s="135">
        <v>12</v>
      </c>
      <c r="E1177" s="151">
        <v>7</v>
      </c>
      <c r="F1177" s="152" t="s">
        <v>480</v>
      </c>
      <c r="G1177" s="152" t="s">
        <v>268</v>
      </c>
      <c r="H1177" s="153">
        <v>2574.5500000000002</v>
      </c>
      <c r="I1177" s="153">
        <v>0</v>
      </c>
      <c r="J1177" s="154">
        <f t="shared" si="39"/>
        <v>2574.5500000000002</v>
      </c>
      <c r="M1177" s="52">
        <v>10849</v>
      </c>
    </row>
    <row r="1178" spans="2:14" ht="15" customHeight="1" x14ac:dyDescent="0.3">
      <c r="B1178" s="135">
        <v>12</v>
      </c>
      <c r="E1178" s="151">
        <v>9</v>
      </c>
      <c r="F1178" s="152" t="s">
        <v>691</v>
      </c>
      <c r="G1178" s="152" t="s">
        <v>690</v>
      </c>
      <c r="H1178" s="153">
        <v>118000</v>
      </c>
      <c r="I1178" s="153">
        <v>11800</v>
      </c>
      <c r="J1178" s="154">
        <f t="shared" si="39"/>
        <v>106200</v>
      </c>
      <c r="M1178" s="52">
        <v>10847</v>
      </c>
      <c r="N1178" s="156" t="s">
        <v>694</v>
      </c>
    </row>
    <row r="1179" spans="2:14" ht="15" customHeight="1" x14ac:dyDescent="0.3">
      <c r="B1179" s="135">
        <v>12</v>
      </c>
      <c r="E1179" s="151">
        <v>13</v>
      </c>
      <c r="F1179" s="152" t="s">
        <v>692</v>
      </c>
      <c r="G1179" s="152" t="s">
        <v>693</v>
      </c>
      <c r="H1179" s="153">
        <v>134936.07</v>
      </c>
      <c r="I1179" s="153">
        <v>17830.407000000003</v>
      </c>
      <c r="J1179" s="154">
        <f t="shared" si="39"/>
        <v>117105.663</v>
      </c>
      <c r="M1179" s="52">
        <v>10846</v>
      </c>
      <c r="N1179" s="156" t="s">
        <v>695</v>
      </c>
    </row>
    <row r="1180" spans="2:14" ht="15" customHeight="1" x14ac:dyDescent="0.3">
      <c r="B1180" s="135">
        <v>12</v>
      </c>
      <c r="E1180" s="151">
        <v>16</v>
      </c>
      <c r="F1180" s="152" t="s">
        <v>632</v>
      </c>
      <c r="G1180" s="152" t="s">
        <v>268</v>
      </c>
      <c r="H1180" s="153">
        <v>2028.98</v>
      </c>
      <c r="I1180" s="153">
        <v>0</v>
      </c>
      <c r="J1180" s="154">
        <f t="shared" si="39"/>
        <v>2028.98</v>
      </c>
      <c r="M1180" s="52">
        <v>10850</v>
      </c>
    </row>
    <row r="1181" spans="2:14" ht="15" customHeight="1" x14ac:dyDescent="0.3">
      <c r="B1181" s="135">
        <v>12</v>
      </c>
      <c r="E1181" s="151">
        <v>18</v>
      </c>
      <c r="F1181" s="152" t="s">
        <v>6</v>
      </c>
      <c r="G1181" s="152" t="s">
        <v>688</v>
      </c>
      <c r="H1181" s="153">
        <v>16666.666666666668</v>
      </c>
      <c r="I1181" s="153">
        <v>1666.666666666667</v>
      </c>
      <c r="J1181" s="154">
        <f t="shared" si="39"/>
        <v>15000</v>
      </c>
      <c r="M1181" s="52" t="s">
        <v>535</v>
      </c>
    </row>
    <row r="1182" spans="2:14" ht="15" customHeight="1" x14ac:dyDescent="0.3">
      <c r="B1182" s="135">
        <v>13</v>
      </c>
      <c r="E1182" s="151">
        <v>1</v>
      </c>
      <c r="F1182" s="152" t="s">
        <v>254</v>
      </c>
      <c r="G1182" s="152" t="s">
        <v>278</v>
      </c>
      <c r="H1182" s="153">
        <v>1500</v>
      </c>
      <c r="I1182" s="153">
        <v>0</v>
      </c>
      <c r="J1182" s="154">
        <f t="shared" si="39"/>
        <v>1500</v>
      </c>
      <c r="M1182" s="52">
        <v>10793</v>
      </c>
    </row>
    <row r="1183" spans="2:14" ht="15" customHeight="1" x14ac:dyDescent="0.3">
      <c r="B1183" s="135">
        <v>13</v>
      </c>
      <c r="E1183" s="151">
        <v>1</v>
      </c>
      <c r="F1183" s="152" t="s">
        <v>257</v>
      </c>
      <c r="G1183" s="152" t="s">
        <v>351</v>
      </c>
      <c r="H1183" s="153">
        <v>1521.58</v>
      </c>
      <c r="I1183" s="153">
        <v>0</v>
      </c>
      <c r="J1183" s="154">
        <f t="shared" si="39"/>
        <v>1521.58</v>
      </c>
      <c r="M1183" s="52">
        <v>10832</v>
      </c>
    </row>
    <row r="1184" spans="2:14" ht="15" customHeight="1" x14ac:dyDescent="0.3">
      <c r="B1184" s="135">
        <v>13</v>
      </c>
      <c r="E1184" s="151">
        <v>1</v>
      </c>
      <c r="F1184" s="152" t="s">
        <v>352</v>
      </c>
      <c r="G1184" s="152" t="s">
        <v>255</v>
      </c>
      <c r="H1184" s="153">
        <v>817.83</v>
      </c>
      <c r="I1184" s="153">
        <v>0</v>
      </c>
      <c r="J1184" s="154">
        <f t="shared" si="39"/>
        <v>817.83</v>
      </c>
      <c r="M1184" s="52">
        <v>10859</v>
      </c>
    </row>
    <row r="1185" spans="2:13" ht="15" customHeight="1" x14ac:dyDescent="0.3">
      <c r="B1185" s="135">
        <v>13</v>
      </c>
      <c r="E1185" s="151">
        <v>1</v>
      </c>
      <c r="F1185" s="152" t="s">
        <v>354</v>
      </c>
      <c r="G1185" s="152" t="s">
        <v>255</v>
      </c>
      <c r="H1185" s="153">
        <v>187.27</v>
      </c>
      <c r="I1185" s="153">
        <v>0</v>
      </c>
      <c r="J1185" s="154">
        <f t="shared" si="39"/>
        <v>187.27</v>
      </c>
      <c r="M1185" s="52">
        <v>10860</v>
      </c>
    </row>
    <row r="1186" spans="2:13" ht="15" customHeight="1" x14ac:dyDescent="0.3">
      <c r="B1186" s="135">
        <v>13</v>
      </c>
      <c r="E1186" s="151">
        <v>1</v>
      </c>
      <c r="F1186" s="152" t="s">
        <v>354</v>
      </c>
      <c r="G1186" s="152" t="s">
        <v>255</v>
      </c>
      <c r="H1186" s="153">
        <v>190.52</v>
      </c>
      <c r="I1186" s="153">
        <v>0</v>
      </c>
      <c r="J1186" s="154">
        <f t="shared" si="39"/>
        <v>190.52</v>
      </c>
      <c r="M1186" s="52">
        <v>10861</v>
      </c>
    </row>
    <row r="1187" spans="2:13" ht="15" customHeight="1" x14ac:dyDescent="0.3">
      <c r="B1187" s="135">
        <v>13</v>
      </c>
      <c r="E1187" s="151">
        <v>1</v>
      </c>
      <c r="F1187" s="152" t="s">
        <v>354</v>
      </c>
      <c r="G1187" s="152" t="s">
        <v>255</v>
      </c>
      <c r="H1187" s="153">
        <v>190.52</v>
      </c>
      <c r="I1187" s="153">
        <v>0</v>
      </c>
      <c r="J1187" s="154">
        <f t="shared" si="39"/>
        <v>190.52</v>
      </c>
      <c r="M1187" s="52">
        <v>10862</v>
      </c>
    </row>
    <row r="1188" spans="2:13" ht="15" customHeight="1" x14ac:dyDescent="0.3">
      <c r="B1188" s="135">
        <v>13</v>
      </c>
      <c r="E1188" s="151">
        <v>1</v>
      </c>
      <c r="F1188" s="152" t="s">
        <v>354</v>
      </c>
      <c r="G1188" s="152" t="s">
        <v>255</v>
      </c>
      <c r="H1188" s="153">
        <v>187.27</v>
      </c>
      <c r="I1188" s="153">
        <v>0</v>
      </c>
      <c r="J1188" s="154">
        <f t="shared" si="39"/>
        <v>187.27</v>
      </c>
      <c r="M1188" s="52">
        <v>10863</v>
      </c>
    </row>
    <row r="1189" spans="2:13" ht="15" customHeight="1" x14ac:dyDescent="0.3">
      <c r="B1189" s="135">
        <v>13</v>
      </c>
      <c r="E1189" s="151">
        <v>1</v>
      </c>
      <c r="F1189" s="152" t="s">
        <v>354</v>
      </c>
      <c r="G1189" s="152" t="s">
        <v>255</v>
      </c>
      <c r="H1189" s="153">
        <v>172.33</v>
      </c>
      <c r="I1189" s="153">
        <v>0</v>
      </c>
      <c r="J1189" s="154">
        <f t="shared" si="39"/>
        <v>172.33</v>
      </c>
      <c r="M1189" s="52">
        <v>10864</v>
      </c>
    </row>
    <row r="1190" spans="2:13" ht="15" customHeight="1" x14ac:dyDescent="0.3">
      <c r="B1190" s="135">
        <v>13</v>
      </c>
      <c r="E1190" s="151">
        <v>1</v>
      </c>
      <c r="F1190" s="152" t="s">
        <v>354</v>
      </c>
      <c r="G1190" s="152" t="s">
        <v>255</v>
      </c>
      <c r="H1190" s="153">
        <v>172.33</v>
      </c>
      <c r="I1190" s="153">
        <v>0</v>
      </c>
      <c r="J1190" s="154">
        <f t="shared" si="39"/>
        <v>172.33</v>
      </c>
      <c r="M1190" s="52">
        <v>10865</v>
      </c>
    </row>
    <row r="1191" spans="2:13" ht="15" customHeight="1" x14ac:dyDescent="0.3">
      <c r="B1191" s="135">
        <v>13</v>
      </c>
      <c r="E1191" s="151">
        <v>1</v>
      </c>
      <c r="F1191" s="152" t="s">
        <v>257</v>
      </c>
      <c r="G1191" s="152" t="s">
        <v>351</v>
      </c>
      <c r="H1191" s="153">
        <v>1521.58</v>
      </c>
      <c r="I1191" s="153">
        <v>0</v>
      </c>
      <c r="J1191" s="154">
        <f t="shared" si="39"/>
        <v>1521.58</v>
      </c>
      <c r="M1191" s="52">
        <v>10870</v>
      </c>
    </row>
    <row r="1192" spans="2:13" ht="15" customHeight="1" x14ac:dyDescent="0.3">
      <c r="B1192" s="135">
        <v>13</v>
      </c>
      <c r="E1192" s="151">
        <v>1</v>
      </c>
      <c r="F1192" s="152" t="s">
        <v>257</v>
      </c>
      <c r="G1192" s="152" t="s">
        <v>351</v>
      </c>
      <c r="H1192" s="153">
        <v>538</v>
      </c>
      <c r="I1192" s="153">
        <v>0</v>
      </c>
      <c r="J1192" s="154">
        <f t="shared" si="39"/>
        <v>538</v>
      </c>
      <c r="M1192" s="52">
        <v>10871</v>
      </c>
    </row>
    <row r="1193" spans="2:13" ht="15" customHeight="1" x14ac:dyDescent="0.3">
      <c r="B1193" s="135">
        <v>13</v>
      </c>
      <c r="E1193" s="151">
        <v>1</v>
      </c>
      <c r="F1193" s="152" t="s">
        <v>248</v>
      </c>
      <c r="G1193" s="152" t="s">
        <v>286</v>
      </c>
      <c r="H1193" s="153">
        <v>10</v>
      </c>
      <c r="I1193" s="153">
        <v>0</v>
      </c>
      <c r="J1193" s="154">
        <f t="shared" si="39"/>
        <v>10</v>
      </c>
      <c r="M1193" s="52">
        <v>10872</v>
      </c>
    </row>
    <row r="1194" spans="2:13" ht="15" customHeight="1" x14ac:dyDescent="0.3">
      <c r="B1194" s="135">
        <v>13</v>
      </c>
      <c r="E1194" s="151">
        <v>1</v>
      </c>
      <c r="F1194" s="152" t="s">
        <v>241</v>
      </c>
      <c r="G1194" s="152" t="s">
        <v>238</v>
      </c>
      <c r="H1194" s="153">
        <v>521.77</v>
      </c>
      <c r="I1194" s="153">
        <v>0</v>
      </c>
      <c r="J1194" s="154">
        <f t="shared" si="39"/>
        <v>521.77</v>
      </c>
      <c r="M1194" s="52">
        <v>10873</v>
      </c>
    </row>
    <row r="1195" spans="2:13" ht="15" customHeight="1" x14ac:dyDescent="0.3">
      <c r="B1195" s="135">
        <v>13</v>
      </c>
      <c r="E1195" s="151">
        <v>1</v>
      </c>
      <c r="F1195" s="152" t="s">
        <v>354</v>
      </c>
      <c r="G1195" s="152" t="s">
        <v>255</v>
      </c>
      <c r="H1195" s="153">
        <v>187.27</v>
      </c>
      <c r="I1195" s="153">
        <v>0</v>
      </c>
      <c r="J1195" s="154">
        <f t="shared" si="39"/>
        <v>187.27</v>
      </c>
      <c r="M1195" s="52">
        <v>10875</v>
      </c>
    </row>
    <row r="1196" spans="2:13" ht="15" customHeight="1" x14ac:dyDescent="0.3">
      <c r="B1196" s="135">
        <v>13</v>
      </c>
      <c r="E1196" s="151">
        <v>1</v>
      </c>
      <c r="F1196" s="152" t="s">
        <v>354</v>
      </c>
      <c r="G1196" s="152" t="s">
        <v>255</v>
      </c>
      <c r="H1196" s="153">
        <v>187.27</v>
      </c>
      <c r="I1196" s="153">
        <v>0</v>
      </c>
      <c r="J1196" s="154">
        <f t="shared" si="39"/>
        <v>187.27</v>
      </c>
      <c r="M1196" s="52">
        <v>10876</v>
      </c>
    </row>
    <row r="1197" spans="2:13" ht="15" customHeight="1" x14ac:dyDescent="0.3">
      <c r="B1197" s="135">
        <v>13</v>
      </c>
      <c r="E1197" s="151">
        <v>1</v>
      </c>
      <c r="F1197" s="152" t="s">
        <v>247</v>
      </c>
      <c r="G1197" s="152" t="s">
        <v>696</v>
      </c>
      <c r="H1197" s="153">
        <v>32.33</v>
      </c>
      <c r="I1197" s="153">
        <v>0</v>
      </c>
      <c r="J1197" s="154">
        <f t="shared" si="39"/>
        <v>32.33</v>
      </c>
      <c r="M1197" s="52">
        <v>10877</v>
      </c>
    </row>
    <row r="1198" spans="2:13" ht="15" customHeight="1" x14ac:dyDescent="0.3">
      <c r="B1198" s="135">
        <v>13</v>
      </c>
      <c r="E1198" s="151">
        <v>1</v>
      </c>
      <c r="F1198" s="152" t="s">
        <v>257</v>
      </c>
      <c r="G1198" s="152" t="s">
        <v>351</v>
      </c>
      <c r="H1198" s="153">
        <v>1521.58</v>
      </c>
      <c r="I1198" s="153">
        <v>0</v>
      </c>
      <c r="J1198" s="154">
        <f t="shared" si="39"/>
        <v>1521.58</v>
      </c>
      <c r="M1198" s="52">
        <v>10879</v>
      </c>
    </row>
    <row r="1199" spans="2:13" ht="15" customHeight="1" x14ac:dyDescent="0.3">
      <c r="B1199" s="135">
        <v>13</v>
      </c>
      <c r="E1199" s="151">
        <v>1</v>
      </c>
      <c r="F1199" s="152" t="s">
        <v>697</v>
      </c>
      <c r="G1199" s="152" t="s">
        <v>650</v>
      </c>
      <c r="H1199" s="153">
        <v>1385.92</v>
      </c>
      <c r="I1199" s="153">
        <v>0</v>
      </c>
      <c r="J1199" s="154">
        <f t="shared" si="39"/>
        <v>1385.92</v>
      </c>
      <c r="M1199" s="52" t="s">
        <v>720</v>
      </c>
    </row>
    <row r="1200" spans="2:13" ht="15" customHeight="1" x14ac:dyDescent="0.3">
      <c r="B1200" s="135">
        <v>13</v>
      </c>
      <c r="E1200" s="151">
        <v>1</v>
      </c>
      <c r="F1200" s="152" t="s">
        <v>305</v>
      </c>
      <c r="G1200" s="152" t="s">
        <v>363</v>
      </c>
      <c r="H1200" s="153">
        <v>1068.75</v>
      </c>
      <c r="I1200" s="153">
        <v>0</v>
      </c>
      <c r="J1200" s="154">
        <f t="shared" si="39"/>
        <v>1068.75</v>
      </c>
      <c r="M1200" s="52">
        <v>10881</v>
      </c>
    </row>
    <row r="1201" spans="2:13" ht="15" customHeight="1" x14ac:dyDescent="0.3">
      <c r="B1201" s="135">
        <v>13</v>
      </c>
      <c r="E1201" s="151">
        <v>1</v>
      </c>
      <c r="F1201" s="152" t="s">
        <v>305</v>
      </c>
      <c r="G1201" s="152" t="s">
        <v>363</v>
      </c>
      <c r="H1201" s="153">
        <v>1068.75</v>
      </c>
      <c r="I1201" s="153">
        <v>0</v>
      </c>
      <c r="J1201" s="154">
        <f t="shared" si="39"/>
        <v>1068.75</v>
      </c>
      <c r="M1201" s="52">
        <v>10882</v>
      </c>
    </row>
    <row r="1202" spans="2:13" ht="15" customHeight="1" x14ac:dyDescent="0.3">
      <c r="B1202" s="135">
        <v>13</v>
      </c>
      <c r="E1202" s="151">
        <v>1</v>
      </c>
      <c r="F1202" s="152" t="s">
        <v>247</v>
      </c>
      <c r="G1202" s="152" t="s">
        <v>698</v>
      </c>
      <c r="H1202" s="153">
        <v>540.29999999999995</v>
      </c>
      <c r="I1202" s="153">
        <v>0</v>
      </c>
      <c r="J1202" s="154">
        <f t="shared" si="39"/>
        <v>540.29999999999995</v>
      </c>
      <c r="M1202" s="52">
        <v>10885</v>
      </c>
    </row>
    <row r="1203" spans="2:13" ht="15" customHeight="1" x14ac:dyDescent="0.3">
      <c r="B1203" s="135">
        <v>13</v>
      </c>
      <c r="E1203" s="151">
        <v>1</v>
      </c>
      <c r="F1203" s="152" t="s">
        <v>247</v>
      </c>
      <c r="G1203" s="152" t="s">
        <v>699</v>
      </c>
      <c r="H1203" s="153">
        <v>63.17</v>
      </c>
      <c r="I1203" s="153">
        <v>0</v>
      </c>
      <c r="J1203" s="154">
        <f t="shared" si="39"/>
        <v>63.17</v>
      </c>
      <c r="M1203" s="52">
        <v>10886</v>
      </c>
    </row>
    <row r="1204" spans="2:13" ht="15" customHeight="1" x14ac:dyDescent="0.3">
      <c r="B1204" s="135">
        <v>13</v>
      </c>
      <c r="E1204" s="151">
        <v>1</v>
      </c>
      <c r="F1204" s="152" t="s">
        <v>697</v>
      </c>
      <c r="G1204" s="152" t="s">
        <v>580</v>
      </c>
      <c r="H1204" s="153">
        <v>460.73</v>
      </c>
      <c r="I1204" s="153">
        <v>0</v>
      </c>
      <c r="J1204" s="154">
        <f t="shared" si="39"/>
        <v>460.73</v>
      </c>
      <c r="M1204" s="52">
        <v>10889</v>
      </c>
    </row>
    <row r="1205" spans="2:13" ht="15" customHeight="1" x14ac:dyDescent="0.3">
      <c r="B1205" s="135">
        <v>13</v>
      </c>
      <c r="E1205" s="151">
        <v>1</v>
      </c>
      <c r="F1205" s="152" t="s">
        <v>305</v>
      </c>
      <c r="G1205" s="152" t="s">
        <v>363</v>
      </c>
      <c r="H1205" s="153">
        <v>160</v>
      </c>
      <c r="I1205" s="153">
        <v>0</v>
      </c>
      <c r="J1205" s="154">
        <f t="shared" si="39"/>
        <v>160</v>
      </c>
      <c r="M1205" s="52">
        <v>10894</v>
      </c>
    </row>
    <row r="1206" spans="2:13" ht="15" customHeight="1" x14ac:dyDescent="0.3">
      <c r="B1206" s="135">
        <v>13</v>
      </c>
      <c r="E1206" s="151">
        <v>1</v>
      </c>
      <c r="F1206" s="152" t="s">
        <v>583</v>
      </c>
      <c r="G1206" s="152" t="s">
        <v>584</v>
      </c>
      <c r="H1206" s="153">
        <v>634.94000000000005</v>
      </c>
      <c r="I1206" s="153">
        <v>0</v>
      </c>
      <c r="J1206" s="154">
        <f t="shared" si="39"/>
        <v>634.94000000000005</v>
      </c>
      <c r="M1206" s="52">
        <v>10896</v>
      </c>
    </row>
    <row r="1207" spans="2:13" ht="15" customHeight="1" x14ac:dyDescent="0.3">
      <c r="B1207" s="135">
        <v>13</v>
      </c>
      <c r="E1207" s="151">
        <v>1</v>
      </c>
      <c r="F1207" s="152" t="s">
        <v>354</v>
      </c>
      <c r="G1207" s="152" t="s">
        <v>255</v>
      </c>
      <c r="H1207" s="153">
        <v>187.27</v>
      </c>
      <c r="I1207" s="153">
        <v>0</v>
      </c>
      <c r="J1207" s="154">
        <f t="shared" si="39"/>
        <v>187.27</v>
      </c>
      <c r="M1207" s="52">
        <v>10924</v>
      </c>
    </row>
    <row r="1208" spans="2:13" ht="15" customHeight="1" x14ac:dyDescent="0.3">
      <c r="B1208" s="135">
        <v>13</v>
      </c>
      <c r="E1208" s="151">
        <v>1</v>
      </c>
      <c r="F1208" s="152" t="s">
        <v>305</v>
      </c>
      <c r="G1208" s="152" t="s">
        <v>363</v>
      </c>
      <c r="H1208" s="153">
        <v>1068.75</v>
      </c>
      <c r="I1208" s="153">
        <v>0</v>
      </c>
      <c r="J1208" s="154">
        <f t="shared" si="39"/>
        <v>1068.75</v>
      </c>
      <c r="M1208" s="52">
        <v>10937</v>
      </c>
    </row>
    <row r="1209" spans="2:13" ht="15" customHeight="1" x14ac:dyDescent="0.3">
      <c r="B1209" s="135">
        <v>13</v>
      </c>
      <c r="E1209" s="151">
        <v>1</v>
      </c>
      <c r="F1209" s="152" t="s">
        <v>700</v>
      </c>
      <c r="G1209" s="152" t="s">
        <v>701</v>
      </c>
      <c r="H1209" s="153">
        <v>136.66999999999999</v>
      </c>
      <c r="I1209" s="153">
        <v>0</v>
      </c>
      <c r="J1209" s="154">
        <f t="shared" si="39"/>
        <v>136.66999999999999</v>
      </c>
      <c r="M1209" s="52" t="s">
        <v>575</v>
      </c>
    </row>
    <row r="1210" spans="2:13" ht="15" customHeight="1" x14ac:dyDescent="0.3">
      <c r="B1210" s="135">
        <v>13</v>
      </c>
      <c r="E1210" s="151">
        <v>1</v>
      </c>
      <c r="F1210" s="152" t="s">
        <v>702</v>
      </c>
      <c r="G1210" s="152" t="s">
        <v>701</v>
      </c>
      <c r="H1210" s="153">
        <v>18.25</v>
      </c>
      <c r="I1210" s="153">
        <v>0</v>
      </c>
      <c r="J1210" s="154">
        <f t="shared" si="39"/>
        <v>18.25</v>
      </c>
      <c r="M1210" s="52" t="s">
        <v>575</v>
      </c>
    </row>
    <row r="1211" spans="2:13" ht="15" customHeight="1" x14ac:dyDescent="0.3">
      <c r="B1211" s="135">
        <v>13</v>
      </c>
      <c r="E1211" s="151">
        <v>1</v>
      </c>
      <c r="F1211" s="152" t="s">
        <v>702</v>
      </c>
      <c r="G1211" s="152" t="s">
        <v>701</v>
      </c>
      <c r="H1211" s="153">
        <v>19.489999999999998</v>
      </c>
      <c r="I1211" s="153">
        <v>0</v>
      </c>
      <c r="J1211" s="154">
        <f t="shared" si="39"/>
        <v>19.489999999999998</v>
      </c>
      <c r="M1211" s="52" t="s">
        <v>575</v>
      </c>
    </row>
    <row r="1212" spans="2:13" ht="15" customHeight="1" x14ac:dyDescent="0.3">
      <c r="B1212" s="135">
        <v>13</v>
      </c>
      <c r="E1212" s="151">
        <v>1</v>
      </c>
      <c r="F1212" s="152" t="s">
        <v>703</v>
      </c>
      <c r="G1212" s="152" t="s">
        <v>704</v>
      </c>
      <c r="H1212" s="153">
        <v>26.11</v>
      </c>
      <c r="I1212" s="153">
        <v>0</v>
      </c>
      <c r="J1212" s="154">
        <f t="shared" si="39"/>
        <v>26.11</v>
      </c>
      <c r="M1212" s="52" t="s">
        <v>575</v>
      </c>
    </row>
    <row r="1213" spans="2:13" ht="15" customHeight="1" x14ac:dyDescent="0.3">
      <c r="B1213" s="135">
        <v>13</v>
      </c>
      <c r="E1213" s="151">
        <v>1</v>
      </c>
      <c r="F1213" s="152" t="s">
        <v>703</v>
      </c>
      <c r="G1213" s="152" t="s">
        <v>704</v>
      </c>
      <c r="H1213" s="153">
        <v>35.29</v>
      </c>
      <c r="I1213" s="153">
        <v>0</v>
      </c>
      <c r="J1213" s="154">
        <f t="shared" si="39"/>
        <v>35.29</v>
      </c>
      <c r="M1213" s="52" t="s">
        <v>575</v>
      </c>
    </row>
    <row r="1214" spans="2:13" ht="15" customHeight="1" x14ac:dyDescent="0.3">
      <c r="B1214" s="135">
        <v>13</v>
      </c>
      <c r="E1214" s="151">
        <v>1</v>
      </c>
      <c r="F1214" s="152" t="s">
        <v>593</v>
      </c>
      <c r="G1214" s="152" t="s">
        <v>649</v>
      </c>
      <c r="H1214" s="153">
        <v>719.44</v>
      </c>
      <c r="I1214" s="153">
        <v>0</v>
      </c>
      <c r="J1214" s="154">
        <f t="shared" si="39"/>
        <v>719.44</v>
      </c>
      <c r="M1214" s="52" t="s">
        <v>575</v>
      </c>
    </row>
    <row r="1215" spans="2:13" ht="15" customHeight="1" x14ac:dyDescent="0.3">
      <c r="B1215" s="135">
        <v>13</v>
      </c>
      <c r="E1215" s="151">
        <v>1</v>
      </c>
      <c r="F1215" s="152" t="s">
        <v>697</v>
      </c>
      <c r="G1215" s="152" t="s">
        <v>705</v>
      </c>
      <c r="H1215" s="153">
        <v>215.99</v>
      </c>
      <c r="I1215" s="153">
        <v>0</v>
      </c>
      <c r="J1215" s="154">
        <f t="shared" si="39"/>
        <v>215.99</v>
      </c>
      <c r="M1215" s="52" t="s">
        <v>575</v>
      </c>
    </row>
    <row r="1216" spans="2:13" ht="15" customHeight="1" x14ac:dyDescent="0.3">
      <c r="B1216" s="135">
        <v>13</v>
      </c>
      <c r="E1216" s="151">
        <v>1</v>
      </c>
      <c r="F1216" s="152" t="s">
        <v>706</v>
      </c>
      <c r="G1216" s="152" t="s">
        <v>707</v>
      </c>
      <c r="H1216" s="153">
        <v>1094.0100000000002</v>
      </c>
      <c r="I1216" s="153">
        <v>0</v>
      </c>
      <c r="J1216" s="154">
        <f t="shared" si="39"/>
        <v>1094.0100000000002</v>
      </c>
      <c r="M1216" s="52" t="s">
        <v>720</v>
      </c>
    </row>
    <row r="1217" spans="2:13" ht="15" customHeight="1" x14ac:dyDescent="0.3">
      <c r="B1217" s="135">
        <v>13</v>
      </c>
      <c r="E1217" s="151">
        <v>2</v>
      </c>
      <c r="F1217" s="152" t="s">
        <v>430</v>
      </c>
      <c r="G1217" s="152" t="s">
        <v>708</v>
      </c>
      <c r="H1217" s="153">
        <v>440.22</v>
      </c>
      <c r="I1217" s="153">
        <v>0</v>
      </c>
      <c r="J1217" s="154">
        <f t="shared" si="39"/>
        <v>440.22</v>
      </c>
      <c r="M1217" s="52">
        <v>10831</v>
      </c>
    </row>
    <row r="1218" spans="2:13" ht="15" customHeight="1" x14ac:dyDescent="0.3">
      <c r="B1218" s="135">
        <v>13</v>
      </c>
      <c r="E1218" s="151">
        <v>2</v>
      </c>
      <c r="F1218" s="152" t="s">
        <v>430</v>
      </c>
      <c r="G1218" s="152" t="s">
        <v>708</v>
      </c>
      <c r="H1218" s="153">
        <v>248.78</v>
      </c>
      <c r="I1218" s="153">
        <v>0</v>
      </c>
      <c r="J1218" s="154">
        <f t="shared" si="39"/>
        <v>248.78</v>
      </c>
      <c r="M1218" s="52">
        <v>10895</v>
      </c>
    </row>
    <row r="1219" spans="2:13" ht="15" customHeight="1" x14ac:dyDescent="0.3">
      <c r="B1219" s="135">
        <v>13</v>
      </c>
      <c r="E1219" s="151">
        <v>2</v>
      </c>
      <c r="F1219" s="152" t="s">
        <v>184</v>
      </c>
      <c r="G1219" s="152" t="s">
        <v>445</v>
      </c>
      <c r="H1219" s="153">
        <v>375</v>
      </c>
      <c r="I1219" s="153">
        <v>0</v>
      </c>
      <c r="J1219" s="154">
        <f t="shared" si="39"/>
        <v>375</v>
      </c>
      <c r="M1219" s="52">
        <v>10888</v>
      </c>
    </row>
    <row r="1220" spans="2:13" ht="15" customHeight="1" x14ac:dyDescent="0.3">
      <c r="B1220" s="135">
        <v>13</v>
      </c>
      <c r="E1220" s="151">
        <v>3</v>
      </c>
      <c r="F1220" s="152" t="s">
        <v>709</v>
      </c>
      <c r="G1220" s="152" t="s">
        <v>272</v>
      </c>
      <c r="H1220" s="153">
        <v>81.53</v>
      </c>
      <c r="I1220" s="153">
        <v>0</v>
      </c>
      <c r="J1220" s="154">
        <f t="shared" si="39"/>
        <v>81.53</v>
      </c>
      <c r="M1220" s="52">
        <v>10866</v>
      </c>
    </row>
    <row r="1221" spans="2:13" ht="15" customHeight="1" x14ac:dyDescent="0.3">
      <c r="B1221" s="135">
        <v>13</v>
      </c>
      <c r="E1221" s="151">
        <v>3</v>
      </c>
      <c r="F1221" s="152" t="s">
        <v>364</v>
      </c>
      <c r="G1221" s="152" t="s">
        <v>710</v>
      </c>
      <c r="H1221" s="153">
        <v>700</v>
      </c>
      <c r="I1221" s="153">
        <v>0</v>
      </c>
      <c r="J1221" s="154">
        <f t="shared" si="39"/>
        <v>700</v>
      </c>
      <c r="M1221" s="52">
        <v>10880</v>
      </c>
    </row>
    <row r="1222" spans="2:13" ht="15" customHeight="1" x14ac:dyDescent="0.3">
      <c r="B1222" s="135">
        <v>13</v>
      </c>
      <c r="E1222" s="151">
        <v>6</v>
      </c>
      <c r="F1222" s="152" t="s">
        <v>607</v>
      </c>
      <c r="G1222" s="152" t="s">
        <v>608</v>
      </c>
      <c r="H1222" s="153">
        <v>7145</v>
      </c>
      <c r="I1222" s="153">
        <v>0</v>
      </c>
      <c r="J1222" s="154">
        <f t="shared" si="39"/>
        <v>7145</v>
      </c>
      <c r="M1222" s="52">
        <v>10890</v>
      </c>
    </row>
    <row r="1223" spans="2:13" ht="15" customHeight="1" x14ac:dyDescent="0.3">
      <c r="B1223" s="135">
        <v>13</v>
      </c>
      <c r="E1223" s="151">
        <v>6</v>
      </c>
      <c r="F1223" s="152" t="s">
        <v>607</v>
      </c>
      <c r="G1223" s="152" t="s">
        <v>608</v>
      </c>
      <c r="H1223" s="153">
        <v>2000</v>
      </c>
      <c r="I1223" s="153">
        <v>0</v>
      </c>
      <c r="J1223" s="154">
        <f t="shared" si="39"/>
        <v>2000</v>
      </c>
      <c r="M1223" s="52">
        <v>10891</v>
      </c>
    </row>
    <row r="1224" spans="2:13" ht="15" customHeight="1" x14ac:dyDescent="0.3">
      <c r="B1224" s="135">
        <v>13</v>
      </c>
      <c r="E1224" s="151">
        <v>6</v>
      </c>
      <c r="F1224" s="152" t="s">
        <v>264</v>
      </c>
      <c r="G1224" s="152" t="s">
        <v>711</v>
      </c>
      <c r="H1224" s="153">
        <v>649.46</v>
      </c>
      <c r="I1224" s="153">
        <v>0</v>
      </c>
      <c r="J1224" s="154">
        <f t="shared" si="39"/>
        <v>649.46</v>
      </c>
      <c r="M1224" s="52">
        <v>10925</v>
      </c>
    </row>
    <row r="1225" spans="2:13" ht="15" customHeight="1" x14ac:dyDescent="0.3">
      <c r="B1225" s="135">
        <v>13</v>
      </c>
      <c r="E1225" s="151">
        <v>6</v>
      </c>
      <c r="F1225" s="152" t="s">
        <v>264</v>
      </c>
      <c r="G1225" s="152" t="s">
        <v>712</v>
      </c>
      <c r="H1225" s="153">
        <v>247.83</v>
      </c>
      <c r="I1225" s="153">
        <v>0</v>
      </c>
      <c r="J1225" s="154">
        <f t="shared" si="39"/>
        <v>247.83</v>
      </c>
      <c r="M1225" s="52">
        <v>10926</v>
      </c>
    </row>
    <row r="1226" spans="2:13" ht="15" customHeight="1" x14ac:dyDescent="0.3">
      <c r="B1226" s="135">
        <v>13</v>
      </c>
      <c r="E1226" s="151">
        <v>6</v>
      </c>
      <c r="F1226" s="152" t="s">
        <v>264</v>
      </c>
      <c r="G1226" s="152" t="s">
        <v>713</v>
      </c>
      <c r="H1226" s="153">
        <v>516.89</v>
      </c>
      <c r="I1226" s="153">
        <v>0</v>
      </c>
      <c r="J1226" s="154">
        <f t="shared" si="39"/>
        <v>516.89</v>
      </c>
      <c r="M1226" s="52">
        <v>10867</v>
      </c>
    </row>
    <row r="1227" spans="2:13" ht="15" customHeight="1" x14ac:dyDescent="0.3">
      <c r="B1227" s="135">
        <v>13</v>
      </c>
      <c r="E1227" s="151">
        <v>6</v>
      </c>
      <c r="F1227" s="152" t="s">
        <v>264</v>
      </c>
      <c r="G1227" s="152" t="s">
        <v>714</v>
      </c>
      <c r="H1227" s="153">
        <v>253.06</v>
      </c>
      <c r="I1227" s="153">
        <v>0</v>
      </c>
      <c r="J1227" s="154">
        <f t="shared" si="39"/>
        <v>253.06</v>
      </c>
      <c r="M1227" s="52">
        <v>10868</v>
      </c>
    </row>
    <row r="1228" spans="2:13" ht="15" customHeight="1" x14ac:dyDescent="0.3">
      <c r="B1228" s="135">
        <v>13</v>
      </c>
      <c r="E1228" s="151">
        <v>6</v>
      </c>
      <c r="F1228" s="152" t="s">
        <v>264</v>
      </c>
      <c r="G1228" s="152" t="s">
        <v>464</v>
      </c>
      <c r="H1228" s="153">
        <v>2273.94</v>
      </c>
      <c r="I1228" s="153">
        <v>0</v>
      </c>
      <c r="J1228" s="154">
        <f t="shared" si="39"/>
        <v>2273.94</v>
      </c>
      <c r="M1228" s="52">
        <v>10869</v>
      </c>
    </row>
    <row r="1229" spans="2:13" ht="15" customHeight="1" x14ac:dyDescent="0.3">
      <c r="B1229" s="135">
        <v>13</v>
      </c>
      <c r="E1229" s="151">
        <v>6</v>
      </c>
      <c r="F1229" s="152" t="s">
        <v>264</v>
      </c>
      <c r="G1229" s="152" t="s">
        <v>715</v>
      </c>
      <c r="H1229" s="153">
        <v>121.8</v>
      </c>
      <c r="I1229" s="153">
        <v>0</v>
      </c>
      <c r="J1229" s="154">
        <f t="shared" si="39"/>
        <v>121.8</v>
      </c>
      <c r="M1229" s="52">
        <v>10874</v>
      </c>
    </row>
    <row r="1230" spans="2:13" ht="15" customHeight="1" x14ac:dyDescent="0.3">
      <c r="B1230" s="135">
        <v>13</v>
      </c>
      <c r="E1230" s="151">
        <v>6</v>
      </c>
      <c r="F1230" s="152" t="s">
        <v>264</v>
      </c>
      <c r="G1230" s="152" t="s">
        <v>384</v>
      </c>
      <c r="H1230" s="153">
        <v>617.35</v>
      </c>
      <c r="I1230" s="153">
        <v>0</v>
      </c>
      <c r="J1230" s="154">
        <f t="shared" si="39"/>
        <v>617.35</v>
      </c>
      <c r="M1230" s="52">
        <v>10878</v>
      </c>
    </row>
    <row r="1231" spans="2:13" ht="15" customHeight="1" x14ac:dyDescent="0.3">
      <c r="B1231" s="135">
        <v>13</v>
      </c>
      <c r="E1231" s="151">
        <v>6</v>
      </c>
      <c r="F1231" s="152" t="s">
        <v>264</v>
      </c>
      <c r="G1231" s="152" t="s">
        <v>716</v>
      </c>
      <c r="H1231" s="153">
        <v>161.54</v>
      </c>
      <c r="I1231" s="153">
        <v>0</v>
      </c>
      <c r="J1231" s="154">
        <f t="shared" si="39"/>
        <v>161.54</v>
      </c>
      <c r="M1231" s="52">
        <v>10887</v>
      </c>
    </row>
    <row r="1232" spans="2:13" ht="15" customHeight="1" x14ac:dyDescent="0.3">
      <c r="B1232" s="135">
        <v>13</v>
      </c>
      <c r="E1232" s="151">
        <v>6</v>
      </c>
      <c r="F1232" s="152" t="s">
        <v>717</v>
      </c>
      <c r="G1232" s="152" t="s">
        <v>718</v>
      </c>
      <c r="H1232" s="153">
        <v>1500</v>
      </c>
      <c r="I1232" s="153">
        <v>0</v>
      </c>
      <c r="J1232" s="154">
        <f t="shared" si="39"/>
        <v>1500</v>
      </c>
      <c r="M1232" s="52">
        <v>10837</v>
      </c>
    </row>
    <row r="1233" spans="2:13" ht="15" customHeight="1" x14ac:dyDescent="0.3">
      <c r="B1233" s="135">
        <v>13</v>
      </c>
      <c r="E1233" s="151">
        <v>7</v>
      </c>
      <c r="F1233" s="152" t="s">
        <v>719</v>
      </c>
      <c r="G1233" s="152" t="s">
        <v>441</v>
      </c>
      <c r="H1233" s="153">
        <v>342</v>
      </c>
      <c r="I1233" s="153">
        <v>0</v>
      </c>
      <c r="J1233" s="154">
        <f t="shared" si="39"/>
        <v>342</v>
      </c>
      <c r="M1233" s="52">
        <v>10829</v>
      </c>
    </row>
    <row r="1234" spans="2:13" ht="15" customHeight="1" x14ac:dyDescent="0.3">
      <c r="B1234" s="135">
        <v>13</v>
      </c>
      <c r="E1234" s="151">
        <v>16</v>
      </c>
      <c r="F1234" s="152" t="s">
        <v>275</v>
      </c>
      <c r="G1234" s="152" t="s">
        <v>331</v>
      </c>
      <c r="H1234" s="153">
        <v>78246.350000000006</v>
      </c>
      <c r="I1234" s="153">
        <v>0</v>
      </c>
      <c r="J1234" s="154">
        <f t="shared" si="39"/>
        <v>78246.350000000006</v>
      </c>
      <c r="M1234" s="52">
        <v>10930</v>
      </c>
    </row>
    <row r="1235" spans="2:13" ht="15" customHeight="1" x14ac:dyDescent="0.3">
      <c r="B1235" s="135">
        <v>13</v>
      </c>
      <c r="E1235" s="151">
        <v>16</v>
      </c>
      <c r="F1235" s="152" t="s">
        <v>275</v>
      </c>
      <c r="G1235" s="152" t="s">
        <v>686</v>
      </c>
      <c r="H1235" s="153">
        <v>11000</v>
      </c>
      <c r="I1235" s="153">
        <v>1100</v>
      </c>
      <c r="J1235" s="154">
        <f t="shared" si="39"/>
        <v>9900</v>
      </c>
      <c r="M1235" s="52">
        <v>10893</v>
      </c>
    </row>
    <row r="1236" spans="2:13" ht="15" customHeight="1" x14ac:dyDescent="0.3">
      <c r="B1236" s="135">
        <v>13</v>
      </c>
      <c r="E1236" s="151">
        <v>17</v>
      </c>
      <c r="F1236" s="152" t="s">
        <v>209</v>
      </c>
      <c r="G1236" s="152" t="s">
        <v>334</v>
      </c>
      <c r="H1236" s="153">
        <v>170.23</v>
      </c>
      <c r="I1236" s="153">
        <v>0</v>
      </c>
      <c r="J1236" s="154">
        <f t="shared" ref="J1236" si="40">H1236-I1236</f>
        <v>170.23</v>
      </c>
      <c r="M1236" s="52" t="s">
        <v>575</v>
      </c>
    </row>
    <row r="1237" spans="2:13" ht="15" customHeight="1" x14ac:dyDescent="0.3">
      <c r="B1237" s="135">
        <v>13</v>
      </c>
      <c r="E1237" s="151">
        <v>1</v>
      </c>
      <c r="F1237" s="152" t="s">
        <v>261</v>
      </c>
      <c r="G1237" s="152" t="s">
        <v>721</v>
      </c>
      <c r="H1237" s="153">
        <v>10000</v>
      </c>
      <c r="I1237" s="153">
        <v>0</v>
      </c>
      <c r="J1237" s="154">
        <f>H1237-I1237</f>
        <v>10000</v>
      </c>
      <c r="M1237" s="52" t="s">
        <v>535</v>
      </c>
    </row>
    <row r="1238" spans="2:13" ht="15" customHeight="1" x14ac:dyDescent="0.3">
      <c r="B1238" s="135">
        <v>13</v>
      </c>
      <c r="E1238" s="151">
        <v>1</v>
      </c>
      <c r="F1238" s="152" t="s">
        <v>169</v>
      </c>
      <c r="G1238" s="152" t="s">
        <v>722</v>
      </c>
      <c r="H1238" s="153">
        <v>3888.8888888888887</v>
      </c>
      <c r="I1238" s="153">
        <v>0</v>
      </c>
      <c r="J1238" s="154">
        <f t="shared" ref="J1238:J1293" si="41">H1238-I1238</f>
        <v>3888.8888888888887</v>
      </c>
      <c r="M1238" s="52" t="s">
        <v>535</v>
      </c>
    </row>
    <row r="1239" spans="2:13" ht="15" customHeight="1" x14ac:dyDescent="0.3">
      <c r="B1239" s="135">
        <v>13</v>
      </c>
      <c r="E1239" s="151">
        <v>1</v>
      </c>
      <c r="F1239" s="152" t="s">
        <v>172</v>
      </c>
      <c r="G1239" s="152" t="s">
        <v>722</v>
      </c>
      <c r="H1239" s="153">
        <v>3611.1111111111113</v>
      </c>
      <c r="I1239" s="153">
        <v>0</v>
      </c>
      <c r="J1239" s="154">
        <f t="shared" si="41"/>
        <v>3611.1111111111113</v>
      </c>
      <c r="M1239" s="52" t="s">
        <v>535</v>
      </c>
    </row>
    <row r="1240" spans="2:13" ht="15" customHeight="1" x14ac:dyDescent="0.3">
      <c r="B1240" s="135">
        <v>13</v>
      </c>
      <c r="E1240" s="151">
        <v>2</v>
      </c>
      <c r="F1240" s="152" t="s">
        <v>482</v>
      </c>
      <c r="G1240" s="152" t="s">
        <v>268</v>
      </c>
      <c r="H1240" s="153">
        <v>11583.680000000002</v>
      </c>
      <c r="I1240" s="153">
        <v>0</v>
      </c>
      <c r="J1240" s="154">
        <f t="shared" si="41"/>
        <v>11583.680000000002</v>
      </c>
      <c r="M1240" s="52">
        <v>10933</v>
      </c>
    </row>
    <row r="1241" spans="2:13" ht="15" customHeight="1" x14ac:dyDescent="0.3">
      <c r="B1241" s="135">
        <v>13</v>
      </c>
      <c r="E1241" s="151">
        <v>2</v>
      </c>
      <c r="F1241" s="152" t="s">
        <v>723</v>
      </c>
      <c r="G1241" s="152" t="s">
        <v>268</v>
      </c>
      <c r="H1241" s="153">
        <v>6305.66</v>
      </c>
      <c r="I1241" s="153">
        <v>0</v>
      </c>
      <c r="J1241" s="154">
        <f t="shared" si="41"/>
        <v>6305.66</v>
      </c>
      <c r="M1241" s="52">
        <v>10936</v>
      </c>
    </row>
    <row r="1242" spans="2:13" ht="15" customHeight="1" x14ac:dyDescent="0.3">
      <c r="B1242" s="135">
        <v>13</v>
      </c>
      <c r="E1242" s="151">
        <v>3</v>
      </c>
      <c r="F1242" s="152" t="s">
        <v>724</v>
      </c>
      <c r="G1242" s="152" t="s">
        <v>268</v>
      </c>
      <c r="H1242" s="153">
        <v>1200.32</v>
      </c>
      <c r="I1242" s="153">
        <v>0</v>
      </c>
      <c r="J1242" s="154">
        <f t="shared" si="41"/>
        <v>1200.32</v>
      </c>
      <c r="M1242" s="52">
        <v>10934</v>
      </c>
    </row>
    <row r="1243" spans="2:13" ht="15" customHeight="1" x14ac:dyDescent="0.3">
      <c r="B1243" s="135">
        <v>13</v>
      </c>
      <c r="E1243" s="151">
        <v>7</v>
      </c>
      <c r="F1243" s="152" t="s">
        <v>725</v>
      </c>
      <c r="G1243" s="152" t="s">
        <v>627</v>
      </c>
      <c r="H1243" s="153">
        <v>100000</v>
      </c>
      <c r="I1243" s="153">
        <v>10000</v>
      </c>
      <c r="J1243" s="154">
        <f t="shared" si="41"/>
        <v>90000</v>
      </c>
      <c r="M1243" s="52">
        <v>10927</v>
      </c>
    </row>
    <row r="1244" spans="2:13" ht="15" customHeight="1" x14ac:dyDescent="0.3">
      <c r="B1244" s="135">
        <v>13</v>
      </c>
      <c r="E1244" s="151">
        <v>7</v>
      </c>
      <c r="F1244" s="152" t="s">
        <v>726</v>
      </c>
      <c r="G1244" s="152" t="s">
        <v>727</v>
      </c>
      <c r="H1244" s="153">
        <v>25000</v>
      </c>
      <c r="I1244" s="153">
        <v>2500</v>
      </c>
      <c r="J1244" s="154">
        <f t="shared" si="41"/>
        <v>22500</v>
      </c>
      <c r="M1244" s="52">
        <v>10932</v>
      </c>
    </row>
    <row r="1245" spans="2:13" ht="15" customHeight="1" x14ac:dyDescent="0.3">
      <c r="B1245" s="135">
        <v>13</v>
      </c>
      <c r="E1245" s="151">
        <v>7</v>
      </c>
      <c r="F1245" s="152" t="s">
        <v>480</v>
      </c>
      <c r="G1245" s="152" t="s">
        <v>268</v>
      </c>
      <c r="H1245" s="153">
        <v>2574.5500000000002</v>
      </c>
      <c r="I1245" s="153">
        <v>0</v>
      </c>
      <c r="J1245" s="154">
        <f t="shared" si="41"/>
        <v>2574.5500000000002</v>
      </c>
      <c r="M1245" s="52">
        <v>10935</v>
      </c>
    </row>
    <row r="1246" spans="2:13" ht="15" customHeight="1" x14ac:dyDescent="0.3">
      <c r="B1246" s="135">
        <v>13</v>
      </c>
      <c r="E1246" s="151">
        <v>9</v>
      </c>
      <c r="F1246" s="152" t="s">
        <v>728</v>
      </c>
      <c r="G1246" s="152" t="s">
        <v>727</v>
      </c>
      <c r="H1246" s="153">
        <v>59000</v>
      </c>
      <c r="I1246" s="153">
        <v>5900</v>
      </c>
      <c r="J1246" s="154">
        <f t="shared" si="41"/>
        <v>53100</v>
      </c>
      <c r="M1246" s="52">
        <v>10932</v>
      </c>
    </row>
    <row r="1247" spans="2:13" ht="15" customHeight="1" x14ac:dyDescent="0.3">
      <c r="B1247" s="135">
        <v>13</v>
      </c>
      <c r="E1247" s="151">
        <v>9</v>
      </c>
      <c r="F1247" s="152" t="s">
        <v>729</v>
      </c>
      <c r="G1247" s="152" t="s">
        <v>727</v>
      </c>
      <c r="H1247" s="153">
        <v>42000</v>
      </c>
      <c r="I1247" s="153">
        <v>4200</v>
      </c>
      <c r="J1247" s="154">
        <f t="shared" si="41"/>
        <v>37800</v>
      </c>
      <c r="M1247" s="52">
        <v>10932</v>
      </c>
    </row>
    <row r="1248" spans="2:13" ht="15" customHeight="1" x14ac:dyDescent="0.3">
      <c r="B1248" s="135">
        <v>13</v>
      </c>
      <c r="E1248" s="151">
        <v>12</v>
      </c>
      <c r="F1248" s="152" t="s">
        <v>692</v>
      </c>
      <c r="G1248" s="152" t="s">
        <v>730</v>
      </c>
      <c r="H1248" s="153">
        <v>1294.7</v>
      </c>
      <c r="I1248" s="153">
        <v>129.47</v>
      </c>
      <c r="J1248" s="154">
        <f t="shared" si="41"/>
        <v>1165.23</v>
      </c>
      <c r="M1248" s="52">
        <v>10929</v>
      </c>
    </row>
    <row r="1249" spans="2:13" ht="15" customHeight="1" x14ac:dyDescent="0.3">
      <c r="B1249" s="135">
        <v>13</v>
      </c>
      <c r="E1249" s="151">
        <v>13</v>
      </c>
      <c r="F1249" s="152" t="s">
        <v>692</v>
      </c>
      <c r="G1249" s="152" t="s">
        <v>730</v>
      </c>
      <c r="H1249" s="153">
        <v>42415.93</v>
      </c>
      <c r="I1249" s="153">
        <v>4241.5929999999998</v>
      </c>
      <c r="J1249" s="154">
        <f t="shared" si="41"/>
        <v>38174.337</v>
      </c>
      <c r="M1249" s="52">
        <v>10929</v>
      </c>
    </row>
    <row r="1250" spans="2:13" ht="15" customHeight="1" x14ac:dyDescent="0.3">
      <c r="B1250" s="135">
        <v>13</v>
      </c>
      <c r="E1250" s="151">
        <v>15</v>
      </c>
      <c r="F1250" s="152" t="s">
        <v>340</v>
      </c>
      <c r="G1250" s="152" t="s">
        <v>731</v>
      </c>
      <c r="H1250" s="153">
        <v>23000</v>
      </c>
      <c r="I1250" s="153">
        <v>2300</v>
      </c>
      <c r="J1250" s="154">
        <f t="shared" si="41"/>
        <v>20700</v>
      </c>
      <c r="M1250" s="52">
        <v>10931</v>
      </c>
    </row>
    <row r="1251" spans="2:13" ht="15" customHeight="1" x14ac:dyDescent="0.3">
      <c r="B1251" s="135">
        <v>13</v>
      </c>
      <c r="E1251" s="151">
        <v>18</v>
      </c>
      <c r="F1251" s="152" t="s">
        <v>6</v>
      </c>
      <c r="G1251" s="152" t="s">
        <v>722</v>
      </c>
      <c r="H1251" s="153">
        <v>16666.666666666668</v>
      </c>
      <c r="I1251" s="153">
        <v>1666.666666666667</v>
      </c>
      <c r="J1251" s="154">
        <f t="shared" si="41"/>
        <v>15000</v>
      </c>
      <c r="M1251" s="52" t="s">
        <v>535</v>
      </c>
    </row>
    <row r="1252" spans="2:13" ht="15" customHeight="1" x14ac:dyDescent="0.3">
      <c r="B1252" s="135">
        <v>14</v>
      </c>
      <c r="E1252" s="151">
        <v>1</v>
      </c>
      <c r="F1252" s="152" t="s">
        <v>352</v>
      </c>
      <c r="G1252" s="152" t="s">
        <v>255</v>
      </c>
      <c r="H1252" s="153">
        <v>921.75</v>
      </c>
      <c r="I1252" s="153">
        <v>0</v>
      </c>
      <c r="J1252" s="154">
        <f t="shared" si="41"/>
        <v>921.75</v>
      </c>
      <c r="M1252" s="52">
        <v>10939</v>
      </c>
    </row>
    <row r="1253" spans="2:13" ht="15" customHeight="1" x14ac:dyDescent="0.3">
      <c r="B1253" s="135">
        <v>14</v>
      </c>
      <c r="E1253" s="151">
        <v>1</v>
      </c>
      <c r="F1253" s="152" t="s">
        <v>354</v>
      </c>
      <c r="G1253" s="152" t="s">
        <v>255</v>
      </c>
      <c r="H1253" s="153">
        <v>187.27</v>
      </c>
      <c r="I1253" s="153">
        <v>0</v>
      </c>
      <c r="J1253" s="154">
        <f t="shared" si="41"/>
        <v>187.27</v>
      </c>
      <c r="M1253" s="52">
        <v>10940</v>
      </c>
    </row>
    <row r="1254" spans="2:13" ht="15" customHeight="1" x14ac:dyDescent="0.3">
      <c r="B1254" s="135">
        <v>14</v>
      </c>
      <c r="E1254" s="151">
        <v>1</v>
      </c>
      <c r="F1254" s="152" t="s">
        <v>354</v>
      </c>
      <c r="G1254" s="152" t="s">
        <v>255</v>
      </c>
      <c r="H1254" s="153">
        <v>190.52</v>
      </c>
      <c r="I1254" s="153">
        <v>0</v>
      </c>
      <c r="J1254" s="154">
        <f t="shared" si="41"/>
        <v>190.52</v>
      </c>
      <c r="M1254" s="52">
        <v>10941</v>
      </c>
    </row>
    <row r="1255" spans="2:13" ht="15" customHeight="1" x14ac:dyDescent="0.3">
      <c r="B1255" s="135">
        <v>14</v>
      </c>
      <c r="E1255" s="151">
        <v>1</v>
      </c>
      <c r="F1255" s="152" t="s">
        <v>354</v>
      </c>
      <c r="G1255" s="152" t="s">
        <v>255</v>
      </c>
      <c r="H1255" s="153">
        <v>190.52</v>
      </c>
      <c r="I1255" s="153">
        <v>0</v>
      </c>
      <c r="J1255" s="154">
        <f t="shared" si="41"/>
        <v>190.52</v>
      </c>
      <c r="M1255" s="52">
        <v>10942</v>
      </c>
    </row>
    <row r="1256" spans="2:13" ht="15" customHeight="1" x14ac:dyDescent="0.3">
      <c r="B1256" s="135">
        <v>14</v>
      </c>
      <c r="E1256" s="151">
        <v>1</v>
      </c>
      <c r="F1256" s="152" t="s">
        <v>354</v>
      </c>
      <c r="G1256" s="152" t="s">
        <v>255</v>
      </c>
      <c r="H1256" s="153">
        <v>187.27</v>
      </c>
      <c r="I1256" s="153">
        <v>0</v>
      </c>
      <c r="J1256" s="154">
        <f t="shared" si="41"/>
        <v>187.27</v>
      </c>
      <c r="M1256" s="52">
        <v>10943</v>
      </c>
    </row>
    <row r="1257" spans="2:13" ht="15" customHeight="1" x14ac:dyDescent="0.3">
      <c r="B1257" s="135">
        <v>14</v>
      </c>
      <c r="E1257" s="151">
        <v>1</v>
      </c>
      <c r="F1257" s="152" t="s">
        <v>354</v>
      </c>
      <c r="G1257" s="152" t="s">
        <v>255</v>
      </c>
      <c r="H1257" s="153">
        <v>172.33</v>
      </c>
      <c r="I1257" s="153">
        <v>0</v>
      </c>
      <c r="J1257" s="154">
        <f t="shared" si="41"/>
        <v>172.33</v>
      </c>
      <c r="M1257" s="52">
        <v>10944</v>
      </c>
    </row>
    <row r="1258" spans="2:13" ht="15" customHeight="1" x14ac:dyDescent="0.3">
      <c r="B1258" s="135">
        <v>14</v>
      </c>
      <c r="E1258" s="151">
        <v>1</v>
      </c>
      <c r="F1258" s="152" t="s">
        <v>354</v>
      </c>
      <c r="G1258" s="152" t="s">
        <v>255</v>
      </c>
      <c r="H1258" s="153">
        <v>172.33</v>
      </c>
      <c r="I1258" s="153">
        <v>0</v>
      </c>
      <c r="J1258" s="154">
        <f t="shared" si="41"/>
        <v>172.33</v>
      </c>
      <c r="M1258" s="52">
        <v>10945</v>
      </c>
    </row>
    <row r="1259" spans="2:13" ht="15" customHeight="1" x14ac:dyDescent="0.3">
      <c r="B1259" s="135">
        <v>14</v>
      </c>
      <c r="E1259" s="151">
        <v>1</v>
      </c>
      <c r="F1259" s="152" t="s">
        <v>354</v>
      </c>
      <c r="G1259" s="152" t="s">
        <v>255</v>
      </c>
      <c r="H1259" s="153">
        <v>187.27</v>
      </c>
      <c r="I1259" s="153">
        <v>0</v>
      </c>
      <c r="J1259" s="154">
        <f t="shared" si="41"/>
        <v>187.27</v>
      </c>
      <c r="M1259" s="52">
        <v>10946</v>
      </c>
    </row>
    <row r="1260" spans="2:13" ht="15" customHeight="1" x14ac:dyDescent="0.3">
      <c r="B1260" s="135">
        <v>14</v>
      </c>
      <c r="E1260" s="151">
        <v>1</v>
      </c>
      <c r="F1260" s="152" t="s">
        <v>354</v>
      </c>
      <c r="G1260" s="152" t="s">
        <v>255</v>
      </c>
      <c r="H1260" s="153">
        <v>187.27</v>
      </c>
      <c r="I1260" s="153">
        <v>0</v>
      </c>
      <c r="J1260" s="154">
        <f t="shared" si="41"/>
        <v>187.27</v>
      </c>
      <c r="M1260" s="52">
        <v>10947</v>
      </c>
    </row>
    <row r="1261" spans="2:13" ht="15" customHeight="1" x14ac:dyDescent="0.3">
      <c r="B1261" s="135">
        <v>14</v>
      </c>
      <c r="E1261" s="151">
        <v>1</v>
      </c>
      <c r="F1261" s="152" t="s">
        <v>354</v>
      </c>
      <c r="G1261" s="152" t="s">
        <v>255</v>
      </c>
      <c r="H1261" s="153">
        <v>187.27</v>
      </c>
      <c r="I1261" s="153">
        <v>0</v>
      </c>
      <c r="J1261" s="154">
        <f t="shared" si="41"/>
        <v>187.27</v>
      </c>
      <c r="M1261" s="52">
        <v>10948</v>
      </c>
    </row>
    <row r="1262" spans="2:13" ht="15" customHeight="1" x14ac:dyDescent="0.3">
      <c r="B1262" s="135">
        <v>14</v>
      </c>
      <c r="E1262" s="151">
        <v>1</v>
      </c>
      <c r="F1262" s="152" t="s">
        <v>352</v>
      </c>
      <c r="G1262" s="152" t="s">
        <v>255</v>
      </c>
      <c r="H1262" s="153">
        <v>921.75</v>
      </c>
      <c r="I1262" s="153">
        <v>0</v>
      </c>
      <c r="J1262" s="154">
        <f t="shared" si="41"/>
        <v>921.75</v>
      </c>
      <c r="M1262" s="52">
        <v>10949</v>
      </c>
    </row>
    <row r="1263" spans="2:13" ht="15" customHeight="1" x14ac:dyDescent="0.3">
      <c r="B1263" s="135">
        <v>14</v>
      </c>
      <c r="E1263" s="151">
        <v>1</v>
      </c>
      <c r="F1263" s="152" t="s">
        <v>257</v>
      </c>
      <c r="G1263" s="152" t="s">
        <v>351</v>
      </c>
      <c r="H1263" s="153">
        <v>1521.58</v>
      </c>
      <c r="I1263" s="153">
        <v>0</v>
      </c>
      <c r="J1263" s="154">
        <f t="shared" si="41"/>
        <v>1521.58</v>
      </c>
      <c r="M1263" s="52">
        <v>10950</v>
      </c>
    </row>
    <row r="1264" spans="2:13" ht="15" customHeight="1" x14ac:dyDescent="0.3">
      <c r="B1264" s="135">
        <v>14</v>
      </c>
      <c r="E1264" s="151">
        <v>1</v>
      </c>
      <c r="F1264" s="152" t="s">
        <v>257</v>
      </c>
      <c r="G1264" s="152" t="s">
        <v>351</v>
      </c>
      <c r="H1264" s="153">
        <v>1521.58</v>
      </c>
      <c r="I1264" s="153">
        <v>0</v>
      </c>
      <c r="J1264" s="154">
        <f t="shared" si="41"/>
        <v>1521.58</v>
      </c>
      <c r="M1264" s="52">
        <v>10951</v>
      </c>
    </row>
    <row r="1265" spans="2:13" ht="15" customHeight="1" x14ac:dyDescent="0.3">
      <c r="B1265" s="135">
        <v>14</v>
      </c>
      <c r="E1265" s="151">
        <v>1</v>
      </c>
      <c r="F1265" s="152" t="s">
        <v>257</v>
      </c>
      <c r="G1265" s="152" t="s">
        <v>351</v>
      </c>
      <c r="H1265" s="153">
        <v>1696.89</v>
      </c>
      <c r="I1265" s="153">
        <v>0</v>
      </c>
      <c r="J1265" s="154">
        <f t="shared" si="41"/>
        <v>1696.89</v>
      </c>
      <c r="M1265" s="52">
        <v>10952</v>
      </c>
    </row>
    <row r="1266" spans="2:13" ht="15" customHeight="1" x14ac:dyDescent="0.3">
      <c r="B1266" s="135">
        <v>14</v>
      </c>
      <c r="E1266" s="151">
        <v>1</v>
      </c>
      <c r="F1266" s="152" t="s">
        <v>248</v>
      </c>
      <c r="G1266" s="152" t="s">
        <v>286</v>
      </c>
      <c r="H1266" s="153">
        <v>10</v>
      </c>
      <c r="I1266" s="153">
        <v>0</v>
      </c>
      <c r="J1266" s="154">
        <f t="shared" si="41"/>
        <v>10</v>
      </c>
      <c r="M1266" s="52">
        <v>10872</v>
      </c>
    </row>
    <row r="1267" spans="2:13" ht="15" customHeight="1" x14ac:dyDescent="0.3">
      <c r="B1267" s="135">
        <v>14</v>
      </c>
      <c r="E1267" s="151">
        <v>1</v>
      </c>
      <c r="F1267" s="152" t="s">
        <v>241</v>
      </c>
      <c r="G1267" s="152" t="s">
        <v>238</v>
      </c>
      <c r="H1267" s="153">
        <v>521.77</v>
      </c>
      <c r="I1267" s="153">
        <v>0</v>
      </c>
      <c r="J1267" s="154">
        <f t="shared" si="41"/>
        <v>521.77</v>
      </c>
      <c r="M1267" s="52">
        <v>10954</v>
      </c>
    </row>
    <row r="1268" spans="2:13" ht="15" customHeight="1" x14ac:dyDescent="0.3">
      <c r="B1268" s="135">
        <v>14</v>
      </c>
      <c r="E1268" s="151">
        <v>1</v>
      </c>
      <c r="F1268" s="152" t="s">
        <v>259</v>
      </c>
      <c r="G1268" s="152" t="s">
        <v>260</v>
      </c>
      <c r="H1268" s="153">
        <v>1515.5</v>
      </c>
      <c r="I1268" s="153">
        <v>0</v>
      </c>
      <c r="J1268" s="154">
        <f t="shared" si="41"/>
        <v>1515.5</v>
      </c>
      <c r="M1268" s="52">
        <v>10955</v>
      </c>
    </row>
    <row r="1269" spans="2:13" ht="15" customHeight="1" x14ac:dyDescent="0.3">
      <c r="B1269" s="135">
        <v>14</v>
      </c>
      <c r="E1269" s="151">
        <v>1</v>
      </c>
      <c r="F1269" s="152" t="s">
        <v>259</v>
      </c>
      <c r="G1269" s="152" t="s">
        <v>260</v>
      </c>
      <c r="H1269" s="153">
        <v>1515.5</v>
      </c>
      <c r="I1269" s="153">
        <v>0</v>
      </c>
      <c r="J1269" s="154">
        <f t="shared" si="41"/>
        <v>1515.5</v>
      </c>
      <c r="M1269" s="52">
        <v>10956</v>
      </c>
    </row>
    <row r="1270" spans="2:13" ht="15" customHeight="1" x14ac:dyDescent="0.3">
      <c r="B1270" s="135">
        <v>14</v>
      </c>
      <c r="E1270" s="151">
        <v>1</v>
      </c>
      <c r="F1270" s="152" t="s">
        <v>241</v>
      </c>
      <c r="G1270" s="152" t="s">
        <v>238</v>
      </c>
      <c r="H1270" s="153">
        <v>521.77</v>
      </c>
      <c r="I1270" s="153">
        <v>0</v>
      </c>
      <c r="J1270" s="154">
        <f t="shared" si="41"/>
        <v>521.77</v>
      </c>
      <c r="M1270" s="52">
        <v>11000</v>
      </c>
    </row>
    <row r="1271" spans="2:13" ht="15" customHeight="1" x14ac:dyDescent="0.3">
      <c r="B1271" s="135">
        <v>14</v>
      </c>
      <c r="E1271" s="151">
        <v>1</v>
      </c>
      <c r="F1271" s="152" t="s">
        <v>697</v>
      </c>
      <c r="G1271" s="152" t="s">
        <v>580</v>
      </c>
      <c r="H1271" s="153">
        <v>1325.69</v>
      </c>
      <c r="I1271" s="153">
        <v>0</v>
      </c>
      <c r="J1271" s="154">
        <f t="shared" si="41"/>
        <v>1325.69</v>
      </c>
      <c r="M1271" s="52">
        <v>11006</v>
      </c>
    </row>
    <row r="1272" spans="2:13" ht="15" customHeight="1" x14ac:dyDescent="0.3">
      <c r="B1272" s="135">
        <v>14</v>
      </c>
      <c r="E1272" s="151">
        <v>1</v>
      </c>
      <c r="F1272" s="152" t="s">
        <v>244</v>
      </c>
      <c r="G1272" s="152" t="s">
        <v>239</v>
      </c>
      <c r="H1272" s="153">
        <v>6156.15</v>
      </c>
      <c r="I1272" s="153">
        <v>0</v>
      </c>
      <c r="J1272" s="154">
        <f t="shared" si="41"/>
        <v>6156.15</v>
      </c>
      <c r="M1272" s="52">
        <v>11013</v>
      </c>
    </row>
    <row r="1273" spans="2:13" ht="15" customHeight="1" x14ac:dyDescent="0.3">
      <c r="B1273" s="135">
        <v>14</v>
      </c>
      <c r="E1273" s="151">
        <v>1</v>
      </c>
      <c r="F1273" s="152" t="s">
        <v>241</v>
      </c>
      <c r="G1273" s="152" t="s">
        <v>238</v>
      </c>
      <c r="H1273" s="153">
        <v>521.77</v>
      </c>
      <c r="I1273" s="153">
        <v>0</v>
      </c>
      <c r="J1273" s="154">
        <f t="shared" si="41"/>
        <v>521.77</v>
      </c>
      <c r="M1273" s="52">
        <v>11014</v>
      </c>
    </row>
    <row r="1274" spans="2:13" ht="15" customHeight="1" x14ac:dyDescent="0.3">
      <c r="B1274" s="135">
        <v>14</v>
      </c>
      <c r="E1274" s="151">
        <v>1</v>
      </c>
      <c r="F1274" s="152" t="s">
        <v>354</v>
      </c>
      <c r="G1274" s="152" t="s">
        <v>255</v>
      </c>
      <c r="H1274" s="153">
        <v>187.27</v>
      </c>
      <c r="I1274" s="153">
        <v>0</v>
      </c>
      <c r="J1274" s="154">
        <f t="shared" si="41"/>
        <v>187.27</v>
      </c>
      <c r="M1274" s="52">
        <v>11016</v>
      </c>
    </row>
    <row r="1275" spans="2:13" ht="15" customHeight="1" x14ac:dyDescent="0.3">
      <c r="B1275" s="135">
        <v>14</v>
      </c>
      <c r="E1275" s="151">
        <v>1</v>
      </c>
      <c r="F1275" s="152" t="s">
        <v>354</v>
      </c>
      <c r="G1275" s="152" t="s">
        <v>255</v>
      </c>
      <c r="H1275" s="153">
        <v>190.52</v>
      </c>
      <c r="I1275" s="153">
        <v>0</v>
      </c>
      <c r="J1275" s="154">
        <f t="shared" si="41"/>
        <v>190.52</v>
      </c>
      <c r="M1275" s="52">
        <v>11017</v>
      </c>
    </row>
    <row r="1276" spans="2:13" ht="15" customHeight="1" x14ac:dyDescent="0.3">
      <c r="B1276" s="135">
        <v>14</v>
      </c>
      <c r="E1276" s="151">
        <v>1</v>
      </c>
      <c r="F1276" s="152" t="s">
        <v>354</v>
      </c>
      <c r="G1276" s="152" t="s">
        <v>255</v>
      </c>
      <c r="H1276" s="153">
        <v>190.52</v>
      </c>
      <c r="I1276" s="153">
        <v>0</v>
      </c>
      <c r="J1276" s="154">
        <f t="shared" si="41"/>
        <v>190.52</v>
      </c>
      <c r="M1276" s="52">
        <v>11018</v>
      </c>
    </row>
    <row r="1277" spans="2:13" ht="15" customHeight="1" x14ac:dyDescent="0.3">
      <c r="B1277" s="135">
        <v>14</v>
      </c>
      <c r="E1277" s="151">
        <v>1</v>
      </c>
      <c r="F1277" s="152" t="s">
        <v>354</v>
      </c>
      <c r="G1277" s="152" t="s">
        <v>255</v>
      </c>
      <c r="H1277" s="153">
        <v>187.27</v>
      </c>
      <c r="I1277" s="153">
        <v>0</v>
      </c>
      <c r="J1277" s="154">
        <f t="shared" si="41"/>
        <v>187.27</v>
      </c>
      <c r="M1277" s="52">
        <v>11019</v>
      </c>
    </row>
    <row r="1278" spans="2:13" ht="15" customHeight="1" x14ac:dyDescent="0.3">
      <c r="B1278" s="135">
        <v>14</v>
      </c>
      <c r="E1278" s="151">
        <v>1</v>
      </c>
      <c r="F1278" s="152" t="s">
        <v>354</v>
      </c>
      <c r="G1278" s="152" t="s">
        <v>255</v>
      </c>
      <c r="H1278" s="153">
        <v>172.33</v>
      </c>
      <c r="I1278" s="153">
        <v>0</v>
      </c>
      <c r="J1278" s="154">
        <f t="shared" si="41"/>
        <v>172.33</v>
      </c>
      <c r="M1278" s="52">
        <v>11020</v>
      </c>
    </row>
    <row r="1279" spans="2:13" ht="15" customHeight="1" x14ac:dyDescent="0.3">
      <c r="B1279" s="135">
        <v>14</v>
      </c>
      <c r="E1279" s="151">
        <v>1</v>
      </c>
      <c r="F1279" s="152" t="s">
        <v>354</v>
      </c>
      <c r="G1279" s="152" t="s">
        <v>255</v>
      </c>
      <c r="H1279" s="153">
        <v>172.33</v>
      </c>
      <c r="I1279" s="153">
        <v>0</v>
      </c>
      <c r="J1279" s="154">
        <f t="shared" si="41"/>
        <v>172.33</v>
      </c>
      <c r="M1279" s="52">
        <v>11021</v>
      </c>
    </row>
    <row r="1280" spans="2:13" ht="15" customHeight="1" x14ac:dyDescent="0.3">
      <c r="B1280" s="135">
        <v>14</v>
      </c>
      <c r="E1280" s="151">
        <v>1</v>
      </c>
      <c r="F1280" s="152" t="s">
        <v>257</v>
      </c>
      <c r="G1280" s="152" t="s">
        <v>351</v>
      </c>
      <c r="H1280" s="153">
        <v>1521.58</v>
      </c>
      <c r="I1280" s="153">
        <v>0</v>
      </c>
      <c r="J1280" s="154">
        <f t="shared" si="41"/>
        <v>1521.58</v>
      </c>
      <c r="M1280" s="52">
        <v>11023</v>
      </c>
    </row>
    <row r="1281" spans="2:13" ht="15" customHeight="1" x14ac:dyDescent="0.3">
      <c r="B1281" s="135">
        <v>14</v>
      </c>
      <c r="E1281" s="151">
        <v>1</v>
      </c>
      <c r="F1281" s="152" t="s">
        <v>254</v>
      </c>
      <c r="G1281" s="152" t="s">
        <v>278</v>
      </c>
      <c r="H1281" s="153">
        <v>1500</v>
      </c>
      <c r="I1281" s="153">
        <v>0</v>
      </c>
      <c r="J1281" s="154">
        <f t="shared" si="41"/>
        <v>1500</v>
      </c>
      <c r="M1281" s="52">
        <v>11025</v>
      </c>
    </row>
    <row r="1282" spans="2:13" ht="15" customHeight="1" x14ac:dyDescent="0.3">
      <c r="B1282" s="135">
        <v>14</v>
      </c>
      <c r="E1282" s="151">
        <v>1</v>
      </c>
      <c r="F1282" s="152" t="s">
        <v>254</v>
      </c>
      <c r="G1282" s="152" t="s">
        <v>278</v>
      </c>
      <c r="H1282" s="153">
        <v>1500</v>
      </c>
      <c r="I1282" s="153">
        <v>0</v>
      </c>
      <c r="J1282" s="154">
        <f t="shared" si="41"/>
        <v>1500</v>
      </c>
      <c r="M1282" s="52">
        <v>11026</v>
      </c>
    </row>
    <row r="1283" spans="2:13" ht="15" customHeight="1" x14ac:dyDescent="0.3">
      <c r="B1283" s="135">
        <v>14</v>
      </c>
      <c r="E1283" s="151">
        <v>1</v>
      </c>
      <c r="F1283" s="152" t="s">
        <v>254</v>
      </c>
      <c r="G1283" s="152" t="s">
        <v>278</v>
      </c>
      <c r="H1283" s="153">
        <v>1500</v>
      </c>
      <c r="I1283" s="153">
        <v>0</v>
      </c>
      <c r="J1283" s="154">
        <f t="shared" si="41"/>
        <v>1500</v>
      </c>
      <c r="M1283" s="52">
        <v>11027</v>
      </c>
    </row>
    <row r="1284" spans="2:13" ht="15" customHeight="1" x14ac:dyDescent="0.3">
      <c r="B1284" s="135">
        <v>14</v>
      </c>
      <c r="E1284" s="151">
        <v>1</v>
      </c>
      <c r="F1284" s="152" t="s">
        <v>254</v>
      </c>
      <c r="G1284" s="152" t="s">
        <v>278</v>
      </c>
      <c r="H1284" s="153">
        <v>1500</v>
      </c>
      <c r="I1284" s="153">
        <v>0</v>
      </c>
      <c r="J1284" s="154">
        <f t="shared" si="41"/>
        <v>1500</v>
      </c>
      <c r="M1284" s="52">
        <v>11028</v>
      </c>
    </row>
    <row r="1285" spans="2:13" ht="15" customHeight="1" x14ac:dyDescent="0.3">
      <c r="B1285" s="135">
        <v>14</v>
      </c>
      <c r="E1285" s="151">
        <v>1</v>
      </c>
      <c r="F1285" s="152" t="s">
        <v>732</v>
      </c>
      <c r="G1285" s="152" t="s">
        <v>733</v>
      </c>
      <c r="H1285" s="153">
        <v>39.5</v>
      </c>
      <c r="I1285" s="153">
        <v>0</v>
      </c>
      <c r="J1285" s="154">
        <f t="shared" si="41"/>
        <v>39.5</v>
      </c>
      <c r="M1285" s="52" t="s">
        <v>575</v>
      </c>
    </row>
    <row r="1286" spans="2:13" ht="15" customHeight="1" x14ac:dyDescent="0.3">
      <c r="B1286" s="135">
        <v>14</v>
      </c>
      <c r="E1286" s="151">
        <v>1</v>
      </c>
      <c r="F1286" s="152" t="s">
        <v>700</v>
      </c>
      <c r="G1286" s="152" t="s">
        <v>734</v>
      </c>
      <c r="H1286" s="153">
        <v>115.61</v>
      </c>
      <c r="I1286" s="153">
        <v>0</v>
      </c>
      <c r="J1286" s="154">
        <f t="shared" si="41"/>
        <v>115.61</v>
      </c>
      <c r="M1286" s="52" t="s">
        <v>575</v>
      </c>
    </row>
    <row r="1287" spans="2:13" ht="15" customHeight="1" x14ac:dyDescent="0.3">
      <c r="B1287" s="135">
        <v>14</v>
      </c>
      <c r="E1287" s="151">
        <v>1</v>
      </c>
      <c r="F1287" s="152" t="s">
        <v>700</v>
      </c>
      <c r="G1287" s="152" t="s">
        <v>735</v>
      </c>
      <c r="H1287" s="153">
        <v>121.22</v>
      </c>
      <c r="I1287" s="153">
        <v>0</v>
      </c>
      <c r="J1287" s="154">
        <f t="shared" si="41"/>
        <v>121.22</v>
      </c>
      <c r="M1287" s="52" t="s">
        <v>575</v>
      </c>
    </row>
    <row r="1288" spans="2:13" ht="15" customHeight="1" x14ac:dyDescent="0.3">
      <c r="B1288" s="135">
        <v>14</v>
      </c>
      <c r="E1288" s="151">
        <v>1</v>
      </c>
      <c r="F1288" s="152" t="s">
        <v>247</v>
      </c>
      <c r="G1288" s="152" t="s">
        <v>705</v>
      </c>
      <c r="H1288" s="153">
        <v>129.59399999999999</v>
      </c>
      <c r="I1288" s="153">
        <v>0</v>
      </c>
      <c r="J1288" s="154">
        <f t="shared" si="41"/>
        <v>129.59399999999999</v>
      </c>
      <c r="M1288" s="52" t="s">
        <v>575</v>
      </c>
    </row>
    <row r="1289" spans="2:13" ht="15" customHeight="1" x14ac:dyDescent="0.3">
      <c r="B1289" s="135">
        <v>14</v>
      </c>
      <c r="E1289" s="151">
        <v>1</v>
      </c>
      <c r="F1289" s="152" t="s">
        <v>643</v>
      </c>
      <c r="G1289" s="152" t="s">
        <v>649</v>
      </c>
      <c r="H1289" s="153">
        <v>37.11</v>
      </c>
      <c r="I1289" s="153">
        <v>0</v>
      </c>
      <c r="J1289" s="154">
        <f t="shared" si="41"/>
        <v>37.11</v>
      </c>
      <c r="M1289" s="52" t="s">
        <v>575</v>
      </c>
    </row>
    <row r="1290" spans="2:13" ht="15" customHeight="1" x14ac:dyDescent="0.3">
      <c r="B1290" s="135">
        <v>14</v>
      </c>
      <c r="E1290" s="151">
        <v>1</v>
      </c>
      <c r="F1290" s="152" t="s">
        <v>593</v>
      </c>
      <c r="G1290" s="152" t="s">
        <v>649</v>
      </c>
      <c r="H1290" s="153">
        <v>22.265999999999998</v>
      </c>
      <c r="I1290" s="153">
        <v>0</v>
      </c>
      <c r="J1290" s="154">
        <f t="shared" si="41"/>
        <v>22.265999999999998</v>
      </c>
      <c r="M1290" s="52" t="s">
        <v>575</v>
      </c>
    </row>
    <row r="1291" spans="2:13" ht="15" customHeight="1" x14ac:dyDescent="0.3">
      <c r="B1291" s="135">
        <v>14</v>
      </c>
      <c r="E1291" s="151">
        <v>1</v>
      </c>
      <c r="F1291" s="152" t="s">
        <v>639</v>
      </c>
      <c r="G1291" s="152" t="s">
        <v>736</v>
      </c>
      <c r="H1291" s="153">
        <v>1155.67</v>
      </c>
      <c r="I1291" s="153">
        <v>0</v>
      </c>
      <c r="J1291" s="154">
        <f t="shared" si="41"/>
        <v>1155.67</v>
      </c>
      <c r="M1291" s="52" t="s">
        <v>575</v>
      </c>
    </row>
    <row r="1292" spans="2:13" ht="15" customHeight="1" x14ac:dyDescent="0.3">
      <c r="B1292" s="135">
        <v>14</v>
      </c>
      <c r="E1292" s="151">
        <v>1</v>
      </c>
      <c r="F1292" s="152" t="s">
        <v>643</v>
      </c>
      <c r="G1292" s="152" t="s">
        <v>594</v>
      </c>
      <c r="H1292" s="153">
        <v>537.72</v>
      </c>
      <c r="I1292" s="153">
        <v>0</v>
      </c>
      <c r="J1292" s="154">
        <f t="shared" si="41"/>
        <v>537.72</v>
      </c>
      <c r="M1292" s="52" t="s">
        <v>575</v>
      </c>
    </row>
    <row r="1293" spans="2:13" ht="15" customHeight="1" x14ac:dyDescent="0.3">
      <c r="B1293" s="135">
        <v>14</v>
      </c>
      <c r="E1293" s="151">
        <v>2</v>
      </c>
      <c r="F1293" s="152" t="s">
        <v>184</v>
      </c>
      <c r="G1293" s="152" t="s">
        <v>445</v>
      </c>
      <c r="H1293" s="153">
        <v>375</v>
      </c>
      <c r="I1293" s="153">
        <v>0</v>
      </c>
      <c r="J1293" s="154">
        <f t="shared" si="41"/>
        <v>375</v>
      </c>
      <c r="M1293" s="52">
        <v>11003</v>
      </c>
    </row>
    <row r="1294" spans="2:13" ht="15" customHeight="1" x14ac:dyDescent="0.3">
      <c r="B1294" s="135">
        <v>14</v>
      </c>
      <c r="E1294" s="151">
        <v>2</v>
      </c>
      <c r="F1294" s="152" t="s">
        <v>742</v>
      </c>
      <c r="G1294" s="152" t="s">
        <v>453</v>
      </c>
      <c r="H1294" s="153">
        <v>2340</v>
      </c>
      <c r="I1294" s="153">
        <v>0</v>
      </c>
      <c r="J1294" s="154">
        <f>H1294-I1294</f>
        <v>2340</v>
      </c>
      <c r="M1294" s="52">
        <v>10998</v>
      </c>
    </row>
    <row r="1295" spans="2:13" ht="15" customHeight="1" x14ac:dyDescent="0.3">
      <c r="B1295" s="135">
        <v>14</v>
      </c>
      <c r="E1295" s="151">
        <v>2</v>
      </c>
      <c r="F1295" s="152" t="s">
        <v>247</v>
      </c>
      <c r="G1295" s="152" t="s">
        <v>737</v>
      </c>
      <c r="H1295" s="153">
        <v>491.1</v>
      </c>
      <c r="I1295" s="153">
        <v>0</v>
      </c>
      <c r="J1295" s="154">
        <f t="shared" ref="J1295:J1378" si="42">H1295-I1295</f>
        <v>491.1</v>
      </c>
      <c r="M1295" s="52">
        <v>11033</v>
      </c>
    </row>
    <row r="1296" spans="2:13" ht="15" customHeight="1" x14ac:dyDescent="0.3">
      <c r="B1296" s="135">
        <v>14</v>
      </c>
      <c r="E1296" s="151">
        <v>2</v>
      </c>
      <c r="F1296" s="152" t="s">
        <v>738</v>
      </c>
      <c r="G1296" s="152" t="s">
        <v>560</v>
      </c>
      <c r="H1296" s="153">
        <v>413.46</v>
      </c>
      <c r="I1296" s="153">
        <v>0</v>
      </c>
      <c r="J1296" s="154">
        <f t="shared" si="42"/>
        <v>413.46</v>
      </c>
      <c r="M1296" s="52" t="s">
        <v>575</v>
      </c>
    </row>
    <row r="1297" spans="2:13" ht="15" customHeight="1" x14ac:dyDescent="0.3">
      <c r="B1297" s="135">
        <v>14</v>
      </c>
      <c r="E1297" s="151">
        <v>3</v>
      </c>
      <c r="F1297" s="152" t="s">
        <v>655</v>
      </c>
      <c r="G1297" s="152" t="s">
        <v>272</v>
      </c>
      <c r="H1297" s="153">
        <v>174.72</v>
      </c>
      <c r="I1297" s="153">
        <v>0</v>
      </c>
      <c r="J1297" s="154">
        <f t="shared" si="42"/>
        <v>174.72</v>
      </c>
      <c r="M1297" s="52">
        <v>10959</v>
      </c>
    </row>
    <row r="1298" spans="2:13" ht="15" customHeight="1" x14ac:dyDescent="0.3">
      <c r="B1298" s="135">
        <v>14</v>
      </c>
      <c r="E1298" s="151">
        <v>3</v>
      </c>
      <c r="F1298" s="152" t="s">
        <v>655</v>
      </c>
      <c r="G1298" s="152" t="s">
        <v>272</v>
      </c>
      <c r="H1298" s="153">
        <v>99.01</v>
      </c>
      <c r="I1298" s="153">
        <v>0</v>
      </c>
      <c r="J1298" s="154">
        <f t="shared" si="42"/>
        <v>99.01</v>
      </c>
      <c r="M1298" s="52">
        <v>10960</v>
      </c>
    </row>
    <row r="1299" spans="2:13" ht="15" customHeight="1" x14ac:dyDescent="0.3">
      <c r="B1299" s="135">
        <v>14</v>
      </c>
      <c r="E1299" s="151">
        <v>3</v>
      </c>
      <c r="F1299" s="152" t="s">
        <v>247</v>
      </c>
      <c r="G1299" s="152" t="s">
        <v>739</v>
      </c>
      <c r="H1299" s="153">
        <v>15.67</v>
      </c>
      <c r="I1299" s="153">
        <v>0</v>
      </c>
      <c r="J1299" s="154">
        <f t="shared" si="42"/>
        <v>15.67</v>
      </c>
      <c r="M1299" s="52">
        <v>10961</v>
      </c>
    </row>
    <row r="1300" spans="2:13" ht="15" customHeight="1" x14ac:dyDescent="0.3">
      <c r="B1300" s="135">
        <v>14</v>
      </c>
      <c r="E1300" s="151">
        <v>3</v>
      </c>
      <c r="F1300" s="152" t="s">
        <v>740</v>
      </c>
      <c r="G1300" s="152" t="s">
        <v>741</v>
      </c>
      <c r="H1300" s="153">
        <v>4500</v>
      </c>
      <c r="I1300" s="153">
        <v>0</v>
      </c>
      <c r="J1300" s="154">
        <f t="shared" si="42"/>
        <v>4500</v>
      </c>
      <c r="M1300" s="52">
        <v>10996</v>
      </c>
    </row>
    <row r="1301" spans="2:13" ht="15" customHeight="1" x14ac:dyDescent="0.3">
      <c r="B1301" s="135">
        <v>14</v>
      </c>
      <c r="E1301" s="151">
        <v>3</v>
      </c>
      <c r="F1301" s="152" t="s">
        <v>743</v>
      </c>
      <c r="G1301" s="152" t="s">
        <v>744</v>
      </c>
      <c r="H1301" s="153">
        <v>300</v>
      </c>
      <c r="I1301" s="153">
        <v>0</v>
      </c>
      <c r="J1301" s="154">
        <f t="shared" si="42"/>
        <v>300</v>
      </c>
      <c r="M1301" s="52">
        <v>11005</v>
      </c>
    </row>
    <row r="1302" spans="2:13" ht="15" customHeight="1" x14ac:dyDescent="0.3">
      <c r="B1302" s="135">
        <v>14</v>
      </c>
      <c r="E1302" s="151">
        <v>3</v>
      </c>
      <c r="F1302" s="152" t="s">
        <v>745</v>
      </c>
      <c r="G1302" s="152" t="s">
        <v>282</v>
      </c>
      <c r="H1302" s="153">
        <v>477.21</v>
      </c>
      <c r="I1302" s="153">
        <v>0</v>
      </c>
      <c r="J1302" s="154">
        <f t="shared" si="42"/>
        <v>477.21</v>
      </c>
      <c r="M1302" s="52">
        <v>11015</v>
      </c>
    </row>
    <row r="1303" spans="2:13" ht="15" customHeight="1" x14ac:dyDescent="0.3">
      <c r="B1303" s="135">
        <v>14</v>
      </c>
      <c r="E1303" s="151">
        <v>3</v>
      </c>
      <c r="F1303" s="152" t="s">
        <v>247</v>
      </c>
      <c r="G1303" s="152" t="s">
        <v>746</v>
      </c>
      <c r="H1303" s="153">
        <v>389.18</v>
      </c>
      <c r="I1303" s="153">
        <v>0</v>
      </c>
      <c r="J1303" s="154">
        <f t="shared" si="42"/>
        <v>389.18</v>
      </c>
      <c r="M1303" s="52">
        <v>11034</v>
      </c>
    </row>
    <row r="1304" spans="2:13" ht="15" customHeight="1" x14ac:dyDescent="0.3">
      <c r="B1304" s="135">
        <v>14</v>
      </c>
      <c r="E1304" s="151">
        <v>3</v>
      </c>
      <c r="F1304" s="152" t="s">
        <v>247</v>
      </c>
      <c r="G1304" s="152" t="s">
        <v>747</v>
      </c>
      <c r="H1304" s="153">
        <v>43.75</v>
      </c>
      <c r="I1304" s="153">
        <v>0</v>
      </c>
      <c r="J1304" s="154">
        <f t="shared" si="42"/>
        <v>43.75</v>
      </c>
      <c r="M1304" s="52">
        <v>11036</v>
      </c>
    </row>
    <row r="1305" spans="2:13" ht="15" customHeight="1" x14ac:dyDescent="0.3">
      <c r="B1305" s="135">
        <v>14</v>
      </c>
      <c r="E1305" s="151">
        <v>3</v>
      </c>
      <c r="F1305" s="152" t="s">
        <v>247</v>
      </c>
      <c r="G1305" s="152" t="s">
        <v>748</v>
      </c>
      <c r="H1305" s="153">
        <v>321.92</v>
      </c>
      <c r="I1305" s="153">
        <v>0</v>
      </c>
      <c r="J1305" s="154">
        <f t="shared" si="42"/>
        <v>321.92</v>
      </c>
      <c r="M1305" s="52">
        <v>11039</v>
      </c>
    </row>
    <row r="1306" spans="2:13" ht="15" customHeight="1" x14ac:dyDescent="0.3">
      <c r="B1306" s="135">
        <v>14</v>
      </c>
      <c r="E1306" s="151">
        <v>6</v>
      </c>
      <c r="F1306" s="152" t="s">
        <v>264</v>
      </c>
      <c r="G1306" s="152" t="s">
        <v>749</v>
      </c>
      <c r="H1306" s="153">
        <v>127.97</v>
      </c>
      <c r="I1306" s="153">
        <v>0</v>
      </c>
      <c r="J1306" s="154">
        <f t="shared" si="42"/>
        <v>127.97</v>
      </c>
      <c r="M1306" s="52">
        <v>10957</v>
      </c>
    </row>
    <row r="1307" spans="2:13" ht="15" customHeight="1" x14ac:dyDescent="0.3">
      <c r="B1307" s="135">
        <v>14</v>
      </c>
      <c r="E1307" s="151">
        <v>6</v>
      </c>
      <c r="F1307" s="152" t="s">
        <v>264</v>
      </c>
      <c r="G1307" s="152" t="s">
        <v>750</v>
      </c>
      <c r="H1307" s="153">
        <v>3281.06</v>
      </c>
      <c r="I1307" s="153">
        <v>0</v>
      </c>
      <c r="J1307" s="154">
        <f t="shared" si="42"/>
        <v>3281.06</v>
      </c>
      <c r="M1307" s="52">
        <v>10978</v>
      </c>
    </row>
    <row r="1308" spans="2:13" ht="15" customHeight="1" x14ac:dyDescent="0.3">
      <c r="B1308" s="135">
        <v>14</v>
      </c>
      <c r="E1308" s="151">
        <v>6</v>
      </c>
      <c r="F1308" s="152" t="s">
        <v>264</v>
      </c>
      <c r="G1308" s="152" t="s">
        <v>751</v>
      </c>
      <c r="H1308" s="153">
        <v>-2137.94</v>
      </c>
      <c r="I1308" s="153">
        <v>0</v>
      </c>
      <c r="J1308" s="154">
        <f t="shared" si="42"/>
        <v>-2137.94</v>
      </c>
      <c r="M1308" s="52">
        <v>10978</v>
      </c>
    </row>
    <row r="1309" spans="2:13" ht="15" customHeight="1" x14ac:dyDescent="0.3">
      <c r="B1309" s="135">
        <v>14</v>
      </c>
      <c r="E1309" s="151">
        <v>6</v>
      </c>
      <c r="F1309" s="152" t="s">
        <v>264</v>
      </c>
      <c r="G1309" s="152" t="s">
        <v>464</v>
      </c>
      <c r="H1309" s="153">
        <v>203.85</v>
      </c>
      <c r="I1309" s="153">
        <v>0</v>
      </c>
      <c r="J1309" s="154">
        <f t="shared" si="42"/>
        <v>203.85</v>
      </c>
      <c r="M1309" s="52">
        <v>10981</v>
      </c>
    </row>
    <row r="1310" spans="2:13" ht="15" customHeight="1" x14ac:dyDescent="0.3">
      <c r="B1310" s="135">
        <v>14</v>
      </c>
      <c r="E1310" s="151">
        <v>6</v>
      </c>
      <c r="F1310" s="152" t="s">
        <v>264</v>
      </c>
      <c r="G1310" s="152" t="s">
        <v>464</v>
      </c>
      <c r="H1310" s="153">
        <v>596.28</v>
      </c>
      <c r="I1310" s="153">
        <v>0</v>
      </c>
      <c r="J1310" s="154">
        <f t="shared" si="42"/>
        <v>596.28</v>
      </c>
      <c r="M1310" s="52">
        <v>10984</v>
      </c>
    </row>
    <row r="1311" spans="2:13" ht="15" customHeight="1" x14ac:dyDescent="0.3">
      <c r="B1311" s="135">
        <v>14</v>
      </c>
      <c r="E1311" s="151">
        <v>6</v>
      </c>
      <c r="F1311" s="152" t="s">
        <v>607</v>
      </c>
      <c r="G1311" s="152" t="s">
        <v>608</v>
      </c>
      <c r="H1311" s="153">
        <v>2150</v>
      </c>
      <c r="I1311" s="153">
        <v>0</v>
      </c>
      <c r="J1311" s="154">
        <f t="shared" si="42"/>
        <v>2150</v>
      </c>
      <c r="M1311" s="52">
        <v>11009</v>
      </c>
    </row>
    <row r="1312" spans="2:13" ht="15" customHeight="1" x14ac:dyDescent="0.3">
      <c r="B1312" s="135">
        <v>14</v>
      </c>
      <c r="E1312" s="151">
        <v>6</v>
      </c>
      <c r="F1312" s="152" t="s">
        <v>657</v>
      </c>
      <c r="G1312" s="152" t="s">
        <v>608</v>
      </c>
      <c r="H1312" s="153">
        <v>3695</v>
      </c>
      <c r="I1312" s="153">
        <v>0</v>
      </c>
      <c r="J1312" s="154">
        <f t="shared" si="42"/>
        <v>3695</v>
      </c>
      <c r="M1312" s="52">
        <v>11010</v>
      </c>
    </row>
    <row r="1313" spans="2:13" ht="15" customHeight="1" x14ac:dyDescent="0.3">
      <c r="B1313" s="135">
        <v>14</v>
      </c>
      <c r="E1313" s="151">
        <v>6</v>
      </c>
      <c r="F1313" s="152" t="s">
        <v>264</v>
      </c>
      <c r="G1313" s="152" t="s">
        <v>668</v>
      </c>
      <c r="H1313" s="153">
        <v>1053.27</v>
      </c>
      <c r="I1313" s="153">
        <v>0</v>
      </c>
      <c r="J1313" s="154">
        <f t="shared" si="42"/>
        <v>1053.27</v>
      </c>
      <c r="M1313" s="52">
        <v>11030</v>
      </c>
    </row>
    <row r="1314" spans="2:13" ht="15" customHeight="1" x14ac:dyDescent="0.3">
      <c r="B1314" s="135">
        <v>14</v>
      </c>
      <c r="E1314" s="151">
        <v>6</v>
      </c>
      <c r="F1314" s="152" t="s">
        <v>264</v>
      </c>
      <c r="G1314" s="152" t="s">
        <v>464</v>
      </c>
      <c r="H1314" s="153">
        <v>586.5</v>
      </c>
      <c r="I1314" s="153">
        <v>0</v>
      </c>
      <c r="J1314" s="154">
        <f t="shared" si="42"/>
        <v>586.5</v>
      </c>
      <c r="M1314" s="52">
        <v>11031</v>
      </c>
    </row>
    <row r="1315" spans="2:13" ht="15" customHeight="1" x14ac:dyDescent="0.3">
      <c r="B1315" s="135">
        <v>14</v>
      </c>
      <c r="E1315" s="151">
        <v>6</v>
      </c>
      <c r="F1315" s="152" t="s">
        <v>264</v>
      </c>
      <c r="G1315" s="152" t="s">
        <v>752</v>
      </c>
      <c r="H1315" s="153">
        <v>124.3</v>
      </c>
      <c r="I1315" s="153">
        <v>0</v>
      </c>
      <c r="J1315" s="154">
        <f t="shared" si="42"/>
        <v>124.3</v>
      </c>
      <c r="M1315" s="52">
        <v>11037</v>
      </c>
    </row>
    <row r="1316" spans="2:13" ht="15" customHeight="1" x14ac:dyDescent="0.3">
      <c r="B1316" s="135">
        <v>14</v>
      </c>
      <c r="E1316" s="151">
        <v>7</v>
      </c>
      <c r="F1316" s="152" t="s">
        <v>753</v>
      </c>
      <c r="G1316" s="152" t="s">
        <v>754</v>
      </c>
      <c r="H1316" s="153">
        <v>5000</v>
      </c>
      <c r="I1316" s="153">
        <v>500</v>
      </c>
      <c r="J1316" s="154">
        <f t="shared" si="42"/>
        <v>4500</v>
      </c>
      <c r="M1316" s="52">
        <v>11061</v>
      </c>
    </row>
    <row r="1317" spans="2:13" ht="15" customHeight="1" x14ac:dyDescent="0.3">
      <c r="B1317" s="135">
        <v>14</v>
      </c>
      <c r="E1317" s="151">
        <v>7</v>
      </c>
      <c r="F1317" s="152" t="s">
        <v>755</v>
      </c>
      <c r="G1317" s="152" t="s">
        <v>756</v>
      </c>
      <c r="H1317" s="153">
        <v>25000</v>
      </c>
      <c r="I1317" s="153">
        <v>0</v>
      </c>
      <c r="J1317" s="154">
        <f t="shared" si="42"/>
        <v>25000</v>
      </c>
      <c r="M1317" s="52">
        <v>11061</v>
      </c>
    </row>
    <row r="1318" spans="2:13" ht="15" customHeight="1" x14ac:dyDescent="0.3">
      <c r="B1318" s="135">
        <v>14</v>
      </c>
      <c r="E1318" s="151">
        <v>8</v>
      </c>
      <c r="F1318" s="152" t="s">
        <v>757</v>
      </c>
      <c r="G1318" s="152" t="s">
        <v>758</v>
      </c>
      <c r="H1318" s="153">
        <v>11474.5</v>
      </c>
      <c r="I1318" s="153">
        <v>0</v>
      </c>
      <c r="J1318" s="154">
        <f t="shared" si="42"/>
        <v>11474.5</v>
      </c>
      <c r="M1318" s="52">
        <v>10997</v>
      </c>
    </row>
    <row r="1319" spans="2:13" ht="15" customHeight="1" x14ac:dyDescent="0.3">
      <c r="B1319" s="135">
        <v>14</v>
      </c>
      <c r="E1319" s="151">
        <v>8</v>
      </c>
      <c r="F1319" s="152" t="s">
        <v>759</v>
      </c>
      <c r="G1319" s="152" t="s">
        <v>760</v>
      </c>
      <c r="H1319" s="153">
        <v>51.57</v>
      </c>
      <c r="I1319" s="153">
        <v>0</v>
      </c>
      <c r="J1319" s="154">
        <f t="shared" si="42"/>
        <v>51.57</v>
      </c>
      <c r="M1319" s="52">
        <v>11041</v>
      </c>
    </row>
    <row r="1320" spans="2:13" ht="15" customHeight="1" x14ac:dyDescent="0.3">
      <c r="B1320" s="135">
        <v>14</v>
      </c>
      <c r="E1320" s="151">
        <v>9</v>
      </c>
      <c r="F1320" s="152" t="s">
        <v>815</v>
      </c>
      <c r="G1320" s="152" t="s">
        <v>761</v>
      </c>
      <c r="H1320" s="153">
        <v>6321.8</v>
      </c>
      <c r="I1320" s="153">
        <v>0</v>
      </c>
      <c r="J1320" s="154">
        <f t="shared" si="42"/>
        <v>6321.8</v>
      </c>
      <c r="M1320" s="52">
        <v>10958</v>
      </c>
    </row>
    <row r="1321" spans="2:13" ht="15" customHeight="1" x14ac:dyDescent="0.3">
      <c r="B1321" s="135">
        <v>14</v>
      </c>
      <c r="E1321" s="151">
        <v>9</v>
      </c>
      <c r="F1321" s="152" t="s">
        <v>762</v>
      </c>
      <c r="G1321" s="152" t="s">
        <v>272</v>
      </c>
      <c r="H1321" s="153">
        <v>176.08</v>
      </c>
      <c r="I1321" s="153">
        <v>0</v>
      </c>
      <c r="J1321" s="154">
        <f t="shared" si="42"/>
        <v>176.08</v>
      </c>
      <c r="M1321" s="52">
        <v>10962</v>
      </c>
    </row>
    <row r="1322" spans="2:13" ht="15" customHeight="1" x14ac:dyDescent="0.3">
      <c r="B1322" s="135">
        <v>14</v>
      </c>
      <c r="E1322" s="151">
        <v>9</v>
      </c>
      <c r="F1322" s="152" t="s">
        <v>763</v>
      </c>
      <c r="G1322" s="152" t="s">
        <v>272</v>
      </c>
      <c r="H1322" s="153">
        <v>6321.8</v>
      </c>
      <c r="I1322" s="153">
        <v>0</v>
      </c>
      <c r="J1322" s="154">
        <f t="shared" si="42"/>
        <v>6321.8</v>
      </c>
      <c r="M1322" s="52">
        <v>10963</v>
      </c>
    </row>
    <row r="1323" spans="2:13" ht="15" customHeight="1" x14ac:dyDescent="0.3">
      <c r="B1323" s="135">
        <v>14</v>
      </c>
      <c r="E1323" s="151">
        <v>9</v>
      </c>
      <c r="F1323" s="152" t="s">
        <v>764</v>
      </c>
      <c r="G1323" s="152" t="s">
        <v>272</v>
      </c>
      <c r="H1323" s="153">
        <v>39.450000000000003</v>
      </c>
      <c r="I1323" s="153">
        <v>0</v>
      </c>
      <c r="J1323" s="154">
        <f t="shared" si="42"/>
        <v>39.450000000000003</v>
      </c>
      <c r="M1323" s="52">
        <v>10964</v>
      </c>
    </row>
    <row r="1324" spans="2:13" ht="15" customHeight="1" x14ac:dyDescent="0.3">
      <c r="B1324" s="135">
        <v>14</v>
      </c>
      <c r="E1324" s="151">
        <v>9</v>
      </c>
      <c r="F1324" s="152" t="s">
        <v>765</v>
      </c>
      <c r="G1324" s="152" t="s">
        <v>272</v>
      </c>
      <c r="H1324" s="153">
        <v>616.65</v>
      </c>
      <c r="I1324" s="153">
        <v>0</v>
      </c>
      <c r="J1324" s="154">
        <f t="shared" si="42"/>
        <v>616.65</v>
      </c>
      <c r="M1324" s="52">
        <v>10965</v>
      </c>
    </row>
    <row r="1325" spans="2:13" ht="15" customHeight="1" x14ac:dyDescent="0.3">
      <c r="B1325" s="135">
        <v>14</v>
      </c>
      <c r="E1325" s="151">
        <v>9</v>
      </c>
      <c r="F1325" s="152" t="s">
        <v>766</v>
      </c>
      <c r="G1325" s="152" t="s">
        <v>272</v>
      </c>
      <c r="H1325" s="153">
        <v>549.13</v>
      </c>
      <c r="I1325" s="153">
        <v>0</v>
      </c>
      <c r="J1325" s="154">
        <f t="shared" si="42"/>
        <v>549.13</v>
      </c>
      <c r="M1325" s="52">
        <v>10966</v>
      </c>
    </row>
    <row r="1326" spans="2:13" ht="15" customHeight="1" x14ac:dyDescent="0.3">
      <c r="B1326" s="135">
        <v>14</v>
      </c>
      <c r="E1326" s="151">
        <v>9</v>
      </c>
      <c r="F1326" s="152" t="s">
        <v>767</v>
      </c>
      <c r="G1326" s="152" t="s">
        <v>272</v>
      </c>
      <c r="H1326" s="153">
        <v>304.89</v>
      </c>
      <c r="I1326" s="153">
        <v>0</v>
      </c>
      <c r="J1326" s="154">
        <f t="shared" si="42"/>
        <v>304.89</v>
      </c>
      <c r="M1326" s="52">
        <v>10967</v>
      </c>
    </row>
    <row r="1327" spans="2:13" ht="15" customHeight="1" x14ac:dyDescent="0.3">
      <c r="B1327" s="135">
        <v>14</v>
      </c>
      <c r="E1327" s="151">
        <v>9</v>
      </c>
      <c r="F1327" s="152" t="s">
        <v>768</v>
      </c>
      <c r="G1327" s="152" t="s">
        <v>272</v>
      </c>
      <c r="H1327" s="153">
        <v>256.62</v>
      </c>
      <c r="I1327" s="153">
        <v>0</v>
      </c>
      <c r="J1327" s="154">
        <f t="shared" si="42"/>
        <v>256.62</v>
      </c>
      <c r="M1327" s="52">
        <v>10968</v>
      </c>
    </row>
    <row r="1328" spans="2:13" ht="15" customHeight="1" x14ac:dyDescent="0.3">
      <c r="B1328" s="135">
        <v>14</v>
      </c>
      <c r="E1328" s="151">
        <v>9</v>
      </c>
      <c r="F1328" s="152" t="s">
        <v>769</v>
      </c>
      <c r="G1328" s="152" t="s">
        <v>272</v>
      </c>
      <c r="H1328" s="153">
        <v>531.42999999999995</v>
      </c>
      <c r="I1328" s="153">
        <v>0</v>
      </c>
      <c r="J1328" s="154">
        <f t="shared" si="42"/>
        <v>531.42999999999995</v>
      </c>
      <c r="M1328" s="52">
        <v>10969</v>
      </c>
    </row>
    <row r="1329" spans="2:13" ht="15" customHeight="1" x14ac:dyDescent="0.3">
      <c r="B1329" s="135">
        <v>14</v>
      </c>
      <c r="E1329" s="151">
        <v>9</v>
      </c>
      <c r="F1329" s="152" t="s">
        <v>768</v>
      </c>
      <c r="G1329" s="152" t="s">
        <v>272</v>
      </c>
      <c r="H1329" s="153">
        <v>498.98</v>
      </c>
      <c r="I1329" s="153">
        <v>0</v>
      </c>
      <c r="J1329" s="154">
        <f t="shared" si="42"/>
        <v>498.98</v>
      </c>
      <c r="M1329" s="52">
        <v>10970</v>
      </c>
    </row>
    <row r="1330" spans="2:13" ht="15" customHeight="1" x14ac:dyDescent="0.3">
      <c r="B1330" s="135">
        <v>14</v>
      </c>
      <c r="E1330" s="151">
        <v>9</v>
      </c>
      <c r="F1330" s="152" t="s">
        <v>770</v>
      </c>
      <c r="G1330" s="152" t="s">
        <v>272</v>
      </c>
      <c r="H1330" s="153">
        <v>98.78</v>
      </c>
      <c r="I1330" s="153">
        <v>0</v>
      </c>
      <c r="J1330" s="154">
        <f t="shared" si="42"/>
        <v>98.78</v>
      </c>
      <c r="M1330" s="52">
        <v>10971</v>
      </c>
    </row>
    <row r="1331" spans="2:13" ht="15" customHeight="1" x14ac:dyDescent="0.3">
      <c r="B1331" s="135">
        <v>14</v>
      </c>
      <c r="E1331" s="151">
        <v>9</v>
      </c>
      <c r="F1331" s="152" t="s">
        <v>771</v>
      </c>
      <c r="G1331" s="152" t="s">
        <v>272</v>
      </c>
      <c r="H1331" s="153">
        <v>-98.78</v>
      </c>
      <c r="I1331" s="153">
        <v>0</v>
      </c>
      <c r="J1331" s="154">
        <f t="shared" si="42"/>
        <v>-98.78</v>
      </c>
      <c r="M1331" s="52">
        <v>10971</v>
      </c>
    </row>
    <row r="1332" spans="2:13" ht="15" customHeight="1" x14ac:dyDescent="0.3">
      <c r="B1332" s="135">
        <v>14</v>
      </c>
      <c r="E1332" s="151">
        <v>9</v>
      </c>
      <c r="F1332" s="152" t="s">
        <v>772</v>
      </c>
      <c r="G1332" s="152" t="s">
        <v>773</v>
      </c>
      <c r="H1332" s="153">
        <v>636.91999999999996</v>
      </c>
      <c r="I1332" s="153">
        <v>0</v>
      </c>
      <c r="J1332" s="154">
        <f t="shared" si="42"/>
        <v>636.91999999999996</v>
      </c>
      <c r="M1332" s="52">
        <v>10972</v>
      </c>
    </row>
    <row r="1333" spans="2:13" ht="15" customHeight="1" x14ac:dyDescent="0.3">
      <c r="B1333" s="135">
        <v>14</v>
      </c>
      <c r="E1333" s="151">
        <v>9</v>
      </c>
      <c r="F1333" s="152" t="s">
        <v>774</v>
      </c>
      <c r="G1333" s="152" t="s">
        <v>272</v>
      </c>
      <c r="H1333" s="153">
        <v>232.03</v>
      </c>
      <c r="I1333" s="153">
        <v>0</v>
      </c>
      <c r="J1333" s="154">
        <f t="shared" si="42"/>
        <v>232.03</v>
      </c>
      <c r="M1333" s="52">
        <v>10973</v>
      </c>
    </row>
    <row r="1334" spans="2:13" ht="15" customHeight="1" x14ac:dyDescent="0.3">
      <c r="B1334" s="135">
        <v>14</v>
      </c>
      <c r="E1334" s="151">
        <v>9</v>
      </c>
      <c r="F1334" s="152" t="s">
        <v>772</v>
      </c>
      <c r="G1334" s="152" t="s">
        <v>775</v>
      </c>
      <c r="H1334" s="153">
        <v>612.85</v>
      </c>
      <c r="I1334" s="153">
        <v>0</v>
      </c>
      <c r="J1334" s="154">
        <f t="shared" si="42"/>
        <v>612.85</v>
      </c>
      <c r="M1334" s="52">
        <v>10974</v>
      </c>
    </row>
    <row r="1335" spans="2:13" ht="15" customHeight="1" x14ac:dyDescent="0.3">
      <c r="B1335" s="135">
        <v>14</v>
      </c>
      <c r="E1335" s="151">
        <v>9</v>
      </c>
      <c r="F1335" s="152" t="s">
        <v>676</v>
      </c>
      <c r="G1335" s="152" t="s">
        <v>776</v>
      </c>
      <c r="H1335" s="153">
        <v>22.98</v>
      </c>
      <c r="I1335" s="153">
        <v>0</v>
      </c>
      <c r="J1335" s="154">
        <f t="shared" si="42"/>
        <v>22.98</v>
      </c>
      <c r="M1335" s="52">
        <v>10975</v>
      </c>
    </row>
    <row r="1336" spans="2:13" ht="15" customHeight="1" x14ac:dyDescent="0.3">
      <c r="B1336" s="135">
        <v>14</v>
      </c>
      <c r="E1336" s="151">
        <v>9</v>
      </c>
      <c r="F1336" s="152" t="s">
        <v>772</v>
      </c>
      <c r="G1336" s="152" t="s">
        <v>777</v>
      </c>
      <c r="H1336" s="153">
        <v>68.55</v>
      </c>
      <c r="I1336" s="153">
        <v>0</v>
      </c>
      <c r="J1336" s="154">
        <f t="shared" si="42"/>
        <v>68.55</v>
      </c>
      <c r="M1336" s="52">
        <v>10976</v>
      </c>
    </row>
    <row r="1337" spans="2:13" ht="15" customHeight="1" x14ac:dyDescent="0.3">
      <c r="B1337" s="135">
        <v>14</v>
      </c>
      <c r="E1337" s="151">
        <v>9</v>
      </c>
      <c r="F1337" s="152" t="s">
        <v>768</v>
      </c>
      <c r="G1337" s="152" t="s">
        <v>272</v>
      </c>
      <c r="H1337" s="153">
        <v>498.98</v>
      </c>
      <c r="I1337" s="153">
        <v>0</v>
      </c>
      <c r="J1337" s="154">
        <f t="shared" si="42"/>
        <v>498.98</v>
      </c>
      <c r="M1337" s="52">
        <v>10977</v>
      </c>
    </row>
    <row r="1338" spans="2:13" ht="15" customHeight="1" x14ac:dyDescent="0.3">
      <c r="B1338" s="135">
        <v>14</v>
      </c>
      <c r="E1338" s="151">
        <v>9</v>
      </c>
      <c r="F1338" s="152" t="s">
        <v>772</v>
      </c>
      <c r="G1338" s="152" t="s">
        <v>773</v>
      </c>
      <c r="H1338" s="153">
        <v>454.93</v>
      </c>
      <c r="I1338" s="153">
        <v>0</v>
      </c>
      <c r="J1338" s="154">
        <f t="shared" si="42"/>
        <v>454.93</v>
      </c>
      <c r="M1338" s="52">
        <v>10980</v>
      </c>
    </row>
    <row r="1339" spans="2:13" ht="15" customHeight="1" x14ac:dyDescent="0.3">
      <c r="B1339" s="135">
        <v>14</v>
      </c>
      <c r="E1339" s="151">
        <v>9</v>
      </c>
      <c r="F1339" s="152" t="s">
        <v>778</v>
      </c>
      <c r="G1339" s="152" t="s">
        <v>272</v>
      </c>
      <c r="H1339" s="153">
        <v>1868.5</v>
      </c>
      <c r="I1339" s="153">
        <v>0</v>
      </c>
      <c r="J1339" s="154">
        <f t="shared" si="42"/>
        <v>1868.5</v>
      </c>
      <c r="M1339" s="52">
        <v>10982</v>
      </c>
    </row>
    <row r="1340" spans="2:13" ht="15" customHeight="1" x14ac:dyDescent="0.3">
      <c r="B1340" s="135">
        <v>14</v>
      </c>
      <c r="E1340" s="151">
        <v>9</v>
      </c>
      <c r="F1340" s="152" t="s">
        <v>779</v>
      </c>
      <c r="G1340" s="152" t="s">
        <v>780</v>
      </c>
      <c r="H1340" s="153">
        <v>27180</v>
      </c>
      <c r="I1340" s="153">
        <v>0</v>
      </c>
      <c r="J1340" s="154">
        <f t="shared" si="42"/>
        <v>27180</v>
      </c>
      <c r="M1340" s="52">
        <v>11004</v>
      </c>
    </row>
    <row r="1341" spans="2:13" ht="15" customHeight="1" x14ac:dyDescent="0.3">
      <c r="B1341" s="135">
        <v>14</v>
      </c>
      <c r="E1341" s="151">
        <v>9</v>
      </c>
      <c r="F1341" s="152" t="s">
        <v>772</v>
      </c>
      <c r="G1341" s="152" t="s">
        <v>781</v>
      </c>
      <c r="H1341" s="153">
        <v>913.68</v>
      </c>
      <c r="I1341" s="153">
        <v>0</v>
      </c>
      <c r="J1341" s="154">
        <f t="shared" si="42"/>
        <v>913.68</v>
      </c>
      <c r="M1341" s="52">
        <v>11029</v>
      </c>
    </row>
    <row r="1342" spans="2:13" ht="15" customHeight="1" x14ac:dyDescent="0.3">
      <c r="B1342" s="135">
        <v>14</v>
      </c>
      <c r="E1342" s="151">
        <v>9</v>
      </c>
      <c r="F1342" s="152" t="s">
        <v>768</v>
      </c>
      <c r="G1342" s="152" t="s">
        <v>272</v>
      </c>
      <c r="H1342" s="153">
        <v>498.98</v>
      </c>
      <c r="I1342" s="153">
        <v>0</v>
      </c>
      <c r="J1342" s="154">
        <f t="shared" si="42"/>
        <v>498.98</v>
      </c>
      <c r="M1342" s="52">
        <v>11038</v>
      </c>
    </row>
    <row r="1343" spans="2:13" ht="15" customHeight="1" x14ac:dyDescent="0.3">
      <c r="B1343" s="135">
        <v>14</v>
      </c>
      <c r="E1343" s="151">
        <v>9</v>
      </c>
      <c r="F1343" s="152" t="s">
        <v>815</v>
      </c>
      <c r="G1343" s="152" t="s">
        <v>782</v>
      </c>
      <c r="H1343" s="153">
        <v>264.56</v>
      </c>
      <c r="I1343" s="153">
        <v>0</v>
      </c>
      <c r="J1343" s="154">
        <f t="shared" si="42"/>
        <v>264.56</v>
      </c>
      <c r="M1343" s="52">
        <v>11040</v>
      </c>
    </row>
    <row r="1344" spans="2:13" ht="15" customHeight="1" x14ac:dyDescent="0.3">
      <c r="B1344" s="135">
        <v>14</v>
      </c>
      <c r="E1344" s="151">
        <v>9</v>
      </c>
      <c r="F1344" s="152" t="s">
        <v>783</v>
      </c>
      <c r="G1344" s="152" t="s">
        <v>272</v>
      </c>
      <c r="H1344" s="153">
        <v>379.47</v>
      </c>
      <c r="I1344" s="153">
        <v>0</v>
      </c>
      <c r="J1344" s="154">
        <f t="shared" si="42"/>
        <v>379.47</v>
      </c>
      <c r="M1344" s="52">
        <v>11042</v>
      </c>
    </row>
    <row r="1345" spans="2:13" ht="15" customHeight="1" x14ac:dyDescent="0.3">
      <c r="B1345" s="135">
        <v>14</v>
      </c>
      <c r="E1345" s="151">
        <v>9</v>
      </c>
      <c r="F1345" s="152" t="s">
        <v>784</v>
      </c>
      <c r="G1345" s="152" t="s">
        <v>272</v>
      </c>
      <c r="H1345" s="153">
        <v>502.97</v>
      </c>
      <c r="I1345" s="153">
        <v>0</v>
      </c>
      <c r="J1345" s="154">
        <f t="shared" si="42"/>
        <v>502.97</v>
      </c>
      <c r="M1345" s="52">
        <v>11043</v>
      </c>
    </row>
    <row r="1346" spans="2:13" ht="15" customHeight="1" x14ac:dyDescent="0.3">
      <c r="B1346" s="135">
        <v>14</v>
      </c>
      <c r="E1346" s="151">
        <v>9</v>
      </c>
      <c r="F1346" s="152" t="s">
        <v>772</v>
      </c>
      <c r="G1346" s="152" t="s">
        <v>785</v>
      </c>
      <c r="H1346" s="153">
        <v>1297.7</v>
      </c>
      <c r="I1346" s="153">
        <v>0</v>
      </c>
      <c r="J1346" s="154">
        <f t="shared" si="42"/>
        <v>1297.7</v>
      </c>
      <c r="M1346" s="52" t="s">
        <v>575</v>
      </c>
    </row>
    <row r="1347" spans="2:13" ht="15" customHeight="1" x14ac:dyDescent="0.3">
      <c r="B1347" s="135">
        <v>14</v>
      </c>
      <c r="E1347" s="151">
        <v>9</v>
      </c>
      <c r="F1347" s="152" t="s">
        <v>772</v>
      </c>
      <c r="G1347" s="152" t="s">
        <v>785</v>
      </c>
      <c r="H1347" s="153">
        <v>91.23</v>
      </c>
      <c r="I1347" s="153">
        <v>0</v>
      </c>
      <c r="J1347" s="154">
        <f t="shared" si="42"/>
        <v>91.23</v>
      </c>
      <c r="M1347" s="52" t="s">
        <v>575</v>
      </c>
    </row>
    <row r="1348" spans="2:13" ht="15" customHeight="1" x14ac:dyDescent="0.3">
      <c r="B1348" s="135">
        <v>14</v>
      </c>
      <c r="E1348" s="151">
        <v>9</v>
      </c>
      <c r="F1348" s="152" t="s">
        <v>772</v>
      </c>
      <c r="G1348" s="152" t="s">
        <v>785</v>
      </c>
      <c r="H1348" s="153">
        <v>-64.89</v>
      </c>
      <c r="I1348" s="153">
        <v>0</v>
      </c>
      <c r="J1348" s="154">
        <f t="shared" si="42"/>
        <v>-64.89</v>
      </c>
      <c r="M1348" s="52" t="s">
        <v>575</v>
      </c>
    </row>
    <row r="1349" spans="2:13" ht="15" customHeight="1" x14ac:dyDescent="0.3">
      <c r="B1349" s="135">
        <v>14</v>
      </c>
      <c r="E1349" s="151">
        <v>9</v>
      </c>
      <c r="F1349" s="152" t="s">
        <v>772</v>
      </c>
      <c r="G1349" s="152" t="s">
        <v>785</v>
      </c>
      <c r="H1349" s="153">
        <v>345.23</v>
      </c>
      <c r="I1349" s="153">
        <v>0</v>
      </c>
      <c r="J1349" s="154">
        <f t="shared" si="42"/>
        <v>345.23</v>
      </c>
      <c r="M1349" s="52" t="s">
        <v>575</v>
      </c>
    </row>
    <row r="1350" spans="2:13" ht="15" customHeight="1" x14ac:dyDescent="0.3">
      <c r="B1350" s="135">
        <v>14</v>
      </c>
      <c r="E1350" s="151">
        <v>9</v>
      </c>
      <c r="F1350" s="152" t="s">
        <v>786</v>
      </c>
      <c r="G1350" s="152" t="s">
        <v>787</v>
      </c>
      <c r="H1350" s="153">
        <v>9672.9500000000007</v>
      </c>
      <c r="I1350" s="153">
        <v>0</v>
      </c>
      <c r="J1350" s="154">
        <f t="shared" si="42"/>
        <v>9672.9500000000007</v>
      </c>
      <c r="M1350" s="52" t="s">
        <v>575</v>
      </c>
    </row>
    <row r="1351" spans="2:13" ht="15" customHeight="1" x14ac:dyDescent="0.3">
      <c r="B1351" s="135">
        <v>14</v>
      </c>
      <c r="E1351" s="151">
        <v>9</v>
      </c>
      <c r="F1351" s="152" t="s">
        <v>779</v>
      </c>
      <c r="G1351" s="152" t="s">
        <v>788</v>
      </c>
      <c r="H1351" s="153">
        <v>30000</v>
      </c>
      <c r="I1351" s="153">
        <v>3000</v>
      </c>
      <c r="J1351" s="154">
        <f t="shared" si="42"/>
        <v>27000</v>
      </c>
      <c r="M1351" s="52">
        <v>11004</v>
      </c>
    </row>
    <row r="1352" spans="2:13" ht="15" customHeight="1" x14ac:dyDescent="0.3">
      <c r="B1352" s="135">
        <v>14</v>
      </c>
      <c r="E1352" s="151">
        <v>10</v>
      </c>
      <c r="F1352" s="152" t="s">
        <v>618</v>
      </c>
      <c r="G1352" s="152" t="s">
        <v>789</v>
      </c>
      <c r="H1352" s="153">
        <v>2009.89</v>
      </c>
      <c r="I1352" s="153">
        <v>0</v>
      </c>
      <c r="J1352" s="154">
        <f t="shared" si="42"/>
        <v>2009.89</v>
      </c>
      <c r="M1352" s="52">
        <v>10679</v>
      </c>
    </row>
    <row r="1353" spans="2:13" ht="15" customHeight="1" x14ac:dyDescent="0.3">
      <c r="B1353" s="135">
        <v>14</v>
      </c>
      <c r="E1353" s="151">
        <v>10</v>
      </c>
      <c r="F1353" s="152" t="s">
        <v>616</v>
      </c>
      <c r="G1353" s="152" t="s">
        <v>789</v>
      </c>
      <c r="H1353" s="153">
        <v>18423.789999999997</v>
      </c>
      <c r="I1353" s="153">
        <v>0</v>
      </c>
      <c r="J1353" s="154">
        <f t="shared" si="42"/>
        <v>18423.789999999997</v>
      </c>
      <c r="M1353" s="52">
        <v>10679</v>
      </c>
    </row>
    <row r="1354" spans="2:13" ht="15" customHeight="1" x14ac:dyDescent="0.3">
      <c r="B1354" s="135">
        <v>14</v>
      </c>
      <c r="E1354" s="151">
        <v>10</v>
      </c>
      <c r="F1354" s="152" t="s">
        <v>790</v>
      </c>
      <c r="G1354" s="152" t="s">
        <v>791</v>
      </c>
      <c r="H1354" s="153">
        <v>553.25</v>
      </c>
      <c r="I1354" s="153">
        <v>0</v>
      </c>
      <c r="J1354" s="154">
        <f t="shared" si="42"/>
        <v>553.25</v>
      </c>
      <c r="M1354" s="52">
        <v>11022</v>
      </c>
    </row>
    <row r="1355" spans="2:13" ht="15" customHeight="1" x14ac:dyDescent="0.3">
      <c r="B1355" s="135">
        <v>14</v>
      </c>
      <c r="E1355" s="151">
        <v>11</v>
      </c>
      <c r="F1355" s="152" t="s">
        <v>619</v>
      </c>
      <c r="G1355" s="152" t="s">
        <v>789</v>
      </c>
      <c r="H1355" s="153">
        <v>2428.92</v>
      </c>
      <c r="I1355" s="153">
        <v>0</v>
      </c>
      <c r="J1355" s="154">
        <f t="shared" si="42"/>
        <v>2428.92</v>
      </c>
      <c r="M1355" s="52">
        <v>10679</v>
      </c>
    </row>
    <row r="1356" spans="2:13" ht="15" customHeight="1" x14ac:dyDescent="0.3">
      <c r="B1356" s="135">
        <v>14</v>
      </c>
      <c r="E1356" s="151">
        <v>11</v>
      </c>
      <c r="F1356" s="152" t="s">
        <v>620</v>
      </c>
      <c r="G1356" s="152" t="s">
        <v>789</v>
      </c>
      <c r="H1356" s="153">
        <v>8029.1400000000012</v>
      </c>
      <c r="I1356" s="153">
        <v>0</v>
      </c>
      <c r="J1356" s="154">
        <f t="shared" si="42"/>
        <v>8029.1400000000012</v>
      </c>
      <c r="M1356" s="52">
        <v>10679</v>
      </c>
    </row>
    <row r="1357" spans="2:13" ht="15" customHeight="1" x14ac:dyDescent="0.3">
      <c r="B1357" s="135">
        <v>14</v>
      </c>
      <c r="E1357" s="151">
        <v>11</v>
      </c>
      <c r="F1357" s="152" t="s">
        <v>792</v>
      </c>
      <c r="G1357" s="152" t="s">
        <v>793</v>
      </c>
      <c r="H1357" s="153">
        <v>405</v>
      </c>
      <c r="I1357" s="153">
        <v>0</v>
      </c>
      <c r="J1357" s="154">
        <f t="shared" si="42"/>
        <v>405</v>
      </c>
      <c r="M1357" s="52">
        <v>10883</v>
      </c>
    </row>
    <row r="1358" spans="2:13" ht="15" customHeight="1" x14ac:dyDescent="0.3">
      <c r="B1358" s="135">
        <v>14</v>
      </c>
      <c r="E1358" s="151">
        <v>11</v>
      </c>
      <c r="F1358" s="152" t="s">
        <v>792</v>
      </c>
      <c r="G1358" s="152" t="s">
        <v>793</v>
      </c>
      <c r="H1358" s="153">
        <v>615</v>
      </c>
      <c r="I1358" s="153">
        <v>0</v>
      </c>
      <c r="J1358" s="154">
        <f t="shared" si="42"/>
        <v>615</v>
      </c>
      <c r="M1358" s="52">
        <v>10884</v>
      </c>
    </row>
    <row r="1359" spans="2:13" ht="15" customHeight="1" x14ac:dyDescent="0.3">
      <c r="B1359" s="135">
        <v>14</v>
      </c>
      <c r="E1359" s="151">
        <v>11</v>
      </c>
      <c r="F1359" s="152" t="s">
        <v>792</v>
      </c>
      <c r="G1359" s="152" t="s">
        <v>793</v>
      </c>
      <c r="H1359" s="153">
        <v>630</v>
      </c>
      <c r="I1359" s="153">
        <v>0</v>
      </c>
      <c r="J1359" s="154">
        <f t="shared" si="42"/>
        <v>630</v>
      </c>
      <c r="M1359" s="52">
        <v>10938</v>
      </c>
    </row>
    <row r="1360" spans="2:13" ht="15" customHeight="1" x14ac:dyDescent="0.3">
      <c r="B1360" s="135">
        <v>14</v>
      </c>
      <c r="E1360" s="151">
        <v>11</v>
      </c>
      <c r="F1360" s="152" t="s">
        <v>792</v>
      </c>
      <c r="G1360" s="152" t="s">
        <v>793</v>
      </c>
      <c r="H1360" s="153">
        <v>585</v>
      </c>
      <c r="I1360" s="153">
        <v>0</v>
      </c>
      <c r="J1360" s="154">
        <f t="shared" si="42"/>
        <v>585</v>
      </c>
      <c r="M1360" s="52">
        <v>10985</v>
      </c>
    </row>
    <row r="1361" spans="2:13" ht="15" customHeight="1" x14ac:dyDescent="0.3">
      <c r="B1361" s="135">
        <v>14</v>
      </c>
      <c r="E1361" s="151">
        <v>11</v>
      </c>
      <c r="F1361" s="152" t="s">
        <v>792</v>
      </c>
      <c r="G1361" s="152" t="s">
        <v>793</v>
      </c>
      <c r="H1361" s="153">
        <v>375</v>
      </c>
      <c r="I1361" s="153">
        <v>0</v>
      </c>
      <c r="J1361" s="154">
        <f t="shared" si="42"/>
        <v>375</v>
      </c>
      <c r="M1361" s="52">
        <v>10986</v>
      </c>
    </row>
    <row r="1362" spans="2:13" ht="15" customHeight="1" x14ac:dyDescent="0.3">
      <c r="B1362" s="135">
        <v>14</v>
      </c>
      <c r="E1362" s="151">
        <v>11</v>
      </c>
      <c r="F1362" s="152" t="s">
        <v>792</v>
      </c>
      <c r="G1362" s="152" t="s">
        <v>793</v>
      </c>
      <c r="H1362" s="153">
        <v>510</v>
      </c>
      <c r="I1362" s="153">
        <v>0</v>
      </c>
      <c r="J1362" s="154">
        <f t="shared" si="42"/>
        <v>510</v>
      </c>
      <c r="M1362" s="52">
        <v>10987</v>
      </c>
    </row>
    <row r="1363" spans="2:13" ht="15" customHeight="1" x14ac:dyDescent="0.3">
      <c r="B1363" s="135">
        <v>14</v>
      </c>
      <c r="E1363" s="151">
        <v>11</v>
      </c>
      <c r="F1363" s="152" t="s">
        <v>792</v>
      </c>
      <c r="G1363" s="152" t="s">
        <v>793</v>
      </c>
      <c r="H1363" s="153">
        <v>615</v>
      </c>
      <c r="I1363" s="153">
        <v>0</v>
      </c>
      <c r="J1363" s="154">
        <f t="shared" si="42"/>
        <v>615</v>
      </c>
      <c r="M1363" s="52">
        <v>10988</v>
      </c>
    </row>
    <row r="1364" spans="2:13" ht="15" customHeight="1" x14ac:dyDescent="0.3">
      <c r="B1364" s="135">
        <v>14</v>
      </c>
      <c r="E1364" s="151">
        <v>11</v>
      </c>
      <c r="F1364" s="152" t="s">
        <v>792</v>
      </c>
      <c r="G1364" s="152" t="s">
        <v>793</v>
      </c>
      <c r="H1364" s="153">
        <v>660</v>
      </c>
      <c r="I1364" s="153">
        <v>0</v>
      </c>
      <c r="J1364" s="154">
        <f t="shared" si="42"/>
        <v>660</v>
      </c>
      <c r="M1364" s="52">
        <v>10989</v>
      </c>
    </row>
    <row r="1365" spans="2:13" ht="15" customHeight="1" x14ac:dyDescent="0.3">
      <c r="B1365" s="135">
        <v>14</v>
      </c>
      <c r="E1365" s="151">
        <v>11</v>
      </c>
      <c r="F1365" s="152" t="s">
        <v>792</v>
      </c>
      <c r="G1365" s="152" t="s">
        <v>793</v>
      </c>
      <c r="H1365" s="153">
        <v>1045</v>
      </c>
      <c r="I1365" s="153">
        <v>0</v>
      </c>
      <c r="J1365" s="154">
        <f t="shared" si="42"/>
        <v>1045</v>
      </c>
      <c r="M1365" s="52">
        <v>10990</v>
      </c>
    </row>
    <row r="1366" spans="2:13" ht="15" customHeight="1" x14ac:dyDescent="0.3">
      <c r="B1366" s="135">
        <v>14</v>
      </c>
      <c r="E1366" s="151">
        <v>11</v>
      </c>
      <c r="F1366" s="152" t="s">
        <v>792</v>
      </c>
      <c r="G1366" s="152" t="s">
        <v>793</v>
      </c>
      <c r="H1366" s="153">
        <v>1068.75</v>
      </c>
      <c r="I1366" s="153">
        <v>0</v>
      </c>
      <c r="J1366" s="154">
        <f t="shared" si="42"/>
        <v>1068.75</v>
      </c>
      <c r="M1366" s="52">
        <v>10991</v>
      </c>
    </row>
    <row r="1367" spans="2:13" ht="15" customHeight="1" x14ac:dyDescent="0.3">
      <c r="B1367" s="135">
        <v>14</v>
      </c>
      <c r="E1367" s="151">
        <v>11</v>
      </c>
      <c r="F1367" s="152" t="s">
        <v>792</v>
      </c>
      <c r="G1367" s="152" t="s">
        <v>793</v>
      </c>
      <c r="H1367" s="153">
        <v>760</v>
      </c>
      <c r="I1367" s="153">
        <v>0</v>
      </c>
      <c r="J1367" s="154">
        <f t="shared" si="42"/>
        <v>760</v>
      </c>
      <c r="M1367" s="52">
        <v>10992</v>
      </c>
    </row>
    <row r="1368" spans="2:13" ht="15" customHeight="1" x14ac:dyDescent="0.3">
      <c r="B1368" s="135">
        <v>14</v>
      </c>
      <c r="E1368" s="151">
        <v>11</v>
      </c>
      <c r="F1368" s="152" t="s">
        <v>792</v>
      </c>
      <c r="G1368" s="152" t="s">
        <v>793</v>
      </c>
      <c r="H1368" s="153">
        <v>1068.75</v>
      </c>
      <c r="I1368" s="153">
        <v>0</v>
      </c>
      <c r="J1368" s="154">
        <f t="shared" si="42"/>
        <v>1068.75</v>
      </c>
      <c r="M1368" s="52">
        <v>10993</v>
      </c>
    </row>
    <row r="1369" spans="2:13" ht="15" customHeight="1" x14ac:dyDescent="0.3">
      <c r="B1369" s="135">
        <v>14</v>
      </c>
      <c r="E1369" s="151">
        <v>11</v>
      </c>
      <c r="F1369" s="152" t="s">
        <v>792</v>
      </c>
      <c r="G1369" s="152" t="s">
        <v>793</v>
      </c>
      <c r="H1369" s="153">
        <v>1068.75</v>
      </c>
      <c r="I1369" s="153">
        <v>0</v>
      </c>
      <c r="J1369" s="154">
        <f t="shared" si="42"/>
        <v>1068.75</v>
      </c>
      <c r="M1369" s="52">
        <v>10994</v>
      </c>
    </row>
    <row r="1370" spans="2:13" ht="15" customHeight="1" x14ac:dyDescent="0.3">
      <c r="B1370" s="135">
        <v>14</v>
      </c>
      <c r="E1370" s="151">
        <v>11</v>
      </c>
      <c r="F1370" s="152" t="s">
        <v>792</v>
      </c>
      <c r="G1370" s="152" t="s">
        <v>793</v>
      </c>
      <c r="H1370" s="153">
        <v>1065</v>
      </c>
      <c r="I1370" s="153">
        <v>0</v>
      </c>
      <c r="J1370" s="154">
        <f t="shared" si="42"/>
        <v>1065</v>
      </c>
      <c r="M1370" s="52">
        <v>11011</v>
      </c>
    </row>
    <row r="1371" spans="2:13" ht="15" customHeight="1" x14ac:dyDescent="0.3">
      <c r="B1371" s="135">
        <v>14</v>
      </c>
      <c r="E1371" s="151">
        <v>11</v>
      </c>
      <c r="F1371" s="152" t="s">
        <v>792</v>
      </c>
      <c r="G1371" s="152" t="s">
        <v>793</v>
      </c>
      <c r="H1371" s="153">
        <v>1686.25</v>
      </c>
      <c r="I1371" s="153">
        <v>0</v>
      </c>
      <c r="J1371" s="154">
        <f t="shared" si="42"/>
        <v>1686.25</v>
      </c>
      <c r="M1371" s="52">
        <v>11012</v>
      </c>
    </row>
    <row r="1372" spans="2:13" ht="15" customHeight="1" x14ac:dyDescent="0.3">
      <c r="B1372" s="135">
        <v>14</v>
      </c>
      <c r="E1372" s="151">
        <v>15</v>
      </c>
      <c r="F1372" s="152" t="s">
        <v>794</v>
      </c>
      <c r="G1372" s="152" t="s">
        <v>795</v>
      </c>
      <c r="H1372" s="153">
        <v>400.47</v>
      </c>
      <c r="I1372" s="153">
        <v>0</v>
      </c>
      <c r="J1372" s="154">
        <f t="shared" si="42"/>
        <v>400.47</v>
      </c>
      <c r="M1372" s="52">
        <v>11032</v>
      </c>
    </row>
    <row r="1373" spans="2:13" ht="15" customHeight="1" x14ac:dyDescent="0.3">
      <c r="B1373" s="135">
        <v>14</v>
      </c>
      <c r="E1373" s="151">
        <v>15</v>
      </c>
      <c r="F1373" s="152" t="s">
        <v>794</v>
      </c>
      <c r="G1373" s="152" t="s">
        <v>796</v>
      </c>
      <c r="H1373" s="153">
        <v>107.17</v>
      </c>
      <c r="I1373" s="153">
        <v>0</v>
      </c>
      <c r="J1373" s="154">
        <f t="shared" si="42"/>
        <v>107.17</v>
      </c>
      <c r="M1373" s="52">
        <v>11035</v>
      </c>
    </row>
    <row r="1374" spans="2:13" ht="15" customHeight="1" x14ac:dyDescent="0.3">
      <c r="B1374" s="135">
        <v>14</v>
      </c>
      <c r="E1374" s="151">
        <v>16</v>
      </c>
      <c r="F1374" s="152" t="s">
        <v>797</v>
      </c>
      <c r="G1374" s="152" t="s">
        <v>686</v>
      </c>
      <c r="H1374" s="153">
        <v>11800</v>
      </c>
      <c r="I1374" s="153">
        <v>1180</v>
      </c>
      <c r="J1374" s="154">
        <f t="shared" si="42"/>
        <v>10620</v>
      </c>
      <c r="M1374" s="52">
        <v>10995</v>
      </c>
    </row>
    <row r="1375" spans="2:13" ht="15" customHeight="1" x14ac:dyDescent="0.3">
      <c r="B1375" s="135">
        <v>14</v>
      </c>
      <c r="E1375" s="151">
        <v>16</v>
      </c>
      <c r="F1375" s="152" t="s">
        <v>275</v>
      </c>
      <c r="G1375" s="152" t="s">
        <v>798</v>
      </c>
      <c r="H1375" s="153">
        <v>93000.01</v>
      </c>
      <c r="I1375" s="153">
        <v>0</v>
      </c>
      <c r="J1375" s="154">
        <f t="shared" si="42"/>
        <v>93000.01</v>
      </c>
      <c r="M1375" s="52">
        <v>11053</v>
      </c>
    </row>
    <row r="1376" spans="2:13" ht="15" customHeight="1" x14ac:dyDescent="0.3">
      <c r="B1376" s="135">
        <v>14</v>
      </c>
      <c r="E1376" s="151">
        <v>17</v>
      </c>
      <c r="F1376" s="152" t="s">
        <v>209</v>
      </c>
      <c r="G1376" s="152" t="s">
        <v>334</v>
      </c>
      <c r="H1376" s="153">
        <v>170.23</v>
      </c>
      <c r="I1376" s="153">
        <v>0</v>
      </c>
      <c r="J1376" s="154">
        <f t="shared" si="42"/>
        <v>170.23</v>
      </c>
      <c r="M1376" s="52" t="s">
        <v>575</v>
      </c>
    </row>
    <row r="1377" spans="2:13" ht="15" customHeight="1" x14ac:dyDescent="0.3">
      <c r="B1377" s="135">
        <v>14</v>
      </c>
      <c r="E1377" s="151">
        <v>17</v>
      </c>
      <c r="F1377" s="152" t="s">
        <v>332</v>
      </c>
      <c r="G1377" s="152" t="s">
        <v>799</v>
      </c>
      <c r="H1377" s="153">
        <v>9698.76</v>
      </c>
      <c r="I1377" s="153">
        <v>0</v>
      </c>
      <c r="J1377" s="154">
        <f t="shared" si="42"/>
        <v>9698.76</v>
      </c>
      <c r="M1377" s="52" t="s">
        <v>575</v>
      </c>
    </row>
    <row r="1378" spans="2:13" ht="15" customHeight="1" x14ac:dyDescent="0.3">
      <c r="B1378" s="135">
        <v>14</v>
      </c>
      <c r="E1378" s="151">
        <v>17</v>
      </c>
      <c r="F1378" s="152" t="s">
        <v>332</v>
      </c>
      <c r="G1378" s="152" t="s">
        <v>334</v>
      </c>
      <c r="H1378" s="153">
        <v>3454.07</v>
      </c>
      <c r="I1378" s="153">
        <v>0</v>
      </c>
      <c r="J1378" s="154">
        <f t="shared" si="42"/>
        <v>3454.07</v>
      </c>
      <c r="M1378" s="52" t="s">
        <v>575</v>
      </c>
    </row>
    <row r="1379" spans="2:13" ht="15" customHeight="1" x14ac:dyDescent="0.3">
      <c r="B1379" s="135">
        <v>14</v>
      </c>
      <c r="E1379" s="151">
        <v>1</v>
      </c>
      <c r="F1379" s="152" t="s">
        <v>261</v>
      </c>
      <c r="G1379" s="152" t="s">
        <v>800</v>
      </c>
      <c r="H1379" s="153">
        <v>10000</v>
      </c>
      <c r="I1379" s="153">
        <v>0</v>
      </c>
      <c r="J1379" s="154">
        <f>H1379-I1379</f>
        <v>10000</v>
      </c>
      <c r="M1379" s="52" t="s">
        <v>535</v>
      </c>
    </row>
    <row r="1380" spans="2:13" ht="15" customHeight="1" x14ac:dyDescent="0.3">
      <c r="B1380" s="135">
        <v>14</v>
      </c>
      <c r="E1380" s="151">
        <v>1</v>
      </c>
      <c r="F1380" s="152" t="s">
        <v>169</v>
      </c>
      <c r="G1380" s="152" t="s">
        <v>801</v>
      </c>
      <c r="H1380" s="153">
        <v>3888.8888888888887</v>
      </c>
      <c r="I1380" s="153">
        <v>0</v>
      </c>
      <c r="J1380" s="154">
        <f t="shared" ref="J1380:J1443" si="43">H1380-I1380</f>
        <v>3888.8888888888887</v>
      </c>
      <c r="M1380" s="52" t="s">
        <v>535</v>
      </c>
    </row>
    <row r="1381" spans="2:13" ht="15" customHeight="1" x14ac:dyDescent="0.3">
      <c r="B1381" s="135">
        <v>14</v>
      </c>
      <c r="E1381" s="151">
        <v>1</v>
      </c>
      <c r="F1381" s="152" t="s">
        <v>172</v>
      </c>
      <c r="G1381" s="152" t="s">
        <v>801</v>
      </c>
      <c r="H1381" s="153">
        <v>3611.1111111111113</v>
      </c>
      <c r="I1381" s="153">
        <v>0</v>
      </c>
      <c r="J1381" s="154">
        <f t="shared" si="43"/>
        <v>3611.1111111111113</v>
      </c>
      <c r="M1381" s="52" t="s">
        <v>535</v>
      </c>
    </row>
    <row r="1382" spans="2:13" ht="15" customHeight="1" x14ac:dyDescent="0.3">
      <c r="B1382" s="135">
        <v>14</v>
      </c>
      <c r="E1382" s="151">
        <v>2</v>
      </c>
      <c r="F1382" s="152" t="s">
        <v>482</v>
      </c>
      <c r="G1382" s="152" t="s">
        <v>564</v>
      </c>
      <c r="H1382" s="153">
        <v>10182.470000000001</v>
      </c>
      <c r="I1382" s="153">
        <v>0</v>
      </c>
      <c r="J1382" s="154">
        <f t="shared" si="43"/>
        <v>10182.470000000001</v>
      </c>
      <c r="M1382" s="52">
        <v>11057</v>
      </c>
    </row>
    <row r="1383" spans="2:13" ht="15" customHeight="1" x14ac:dyDescent="0.3">
      <c r="B1383" s="135">
        <v>14</v>
      </c>
      <c r="E1383" s="151">
        <v>3</v>
      </c>
      <c r="F1383" s="152" t="s">
        <v>802</v>
      </c>
      <c r="G1383" s="152" t="s">
        <v>803</v>
      </c>
      <c r="H1383" s="153">
        <v>69000</v>
      </c>
      <c r="I1383" s="153">
        <v>6900</v>
      </c>
      <c r="J1383" s="154">
        <f t="shared" si="43"/>
        <v>62100</v>
      </c>
      <c r="M1383" s="52">
        <v>11059</v>
      </c>
    </row>
    <row r="1384" spans="2:13" ht="15" customHeight="1" x14ac:dyDescent="0.3">
      <c r="B1384" s="135">
        <v>14</v>
      </c>
      <c r="E1384" s="151">
        <v>7</v>
      </c>
      <c r="F1384" s="152" t="s">
        <v>804</v>
      </c>
      <c r="G1384" s="152" t="s">
        <v>805</v>
      </c>
      <c r="H1384" s="153">
        <v>12500</v>
      </c>
      <c r="I1384" s="153">
        <v>1250</v>
      </c>
      <c r="J1384" s="154">
        <f t="shared" si="43"/>
        <v>11250</v>
      </c>
      <c r="M1384" s="52">
        <v>11050</v>
      </c>
    </row>
    <row r="1385" spans="2:13" ht="15" customHeight="1" x14ac:dyDescent="0.3">
      <c r="B1385" s="135">
        <v>14</v>
      </c>
      <c r="E1385" s="151">
        <v>7</v>
      </c>
      <c r="F1385" s="152" t="s">
        <v>480</v>
      </c>
      <c r="G1385" s="152" t="s">
        <v>564</v>
      </c>
      <c r="H1385" s="153">
        <v>2574.5500000000002</v>
      </c>
      <c r="I1385" s="153">
        <v>0</v>
      </c>
      <c r="J1385" s="154">
        <f t="shared" si="43"/>
        <v>2574.5500000000002</v>
      </c>
      <c r="M1385" s="52">
        <v>11055</v>
      </c>
    </row>
    <row r="1386" spans="2:13" ht="15" customHeight="1" x14ac:dyDescent="0.3">
      <c r="B1386" s="135">
        <v>14</v>
      </c>
      <c r="E1386" s="151">
        <v>9</v>
      </c>
      <c r="F1386" s="152" t="s">
        <v>806</v>
      </c>
      <c r="G1386" s="152" t="s">
        <v>805</v>
      </c>
      <c r="H1386" s="153">
        <v>59000</v>
      </c>
      <c r="I1386" s="153">
        <v>5900</v>
      </c>
      <c r="J1386" s="154">
        <f t="shared" si="43"/>
        <v>53100</v>
      </c>
      <c r="M1386" s="52">
        <v>11050</v>
      </c>
    </row>
    <row r="1387" spans="2:13" ht="15" customHeight="1" x14ac:dyDescent="0.3">
      <c r="B1387" s="135">
        <v>14</v>
      </c>
      <c r="E1387" s="151">
        <v>9</v>
      </c>
      <c r="F1387" s="152" t="s">
        <v>807</v>
      </c>
      <c r="G1387" s="152" t="s">
        <v>805</v>
      </c>
      <c r="H1387" s="153">
        <v>66000</v>
      </c>
      <c r="I1387" s="153">
        <v>6600</v>
      </c>
      <c r="J1387" s="154">
        <f t="shared" si="43"/>
        <v>59400</v>
      </c>
      <c r="M1387" s="52">
        <v>11050</v>
      </c>
    </row>
    <row r="1388" spans="2:13" ht="15" customHeight="1" x14ac:dyDescent="0.3">
      <c r="B1388" s="135">
        <v>14</v>
      </c>
      <c r="E1388" s="151">
        <v>9</v>
      </c>
      <c r="F1388" s="152" t="s">
        <v>808</v>
      </c>
      <c r="G1388" s="152" t="s">
        <v>805</v>
      </c>
      <c r="H1388" s="153">
        <v>90000</v>
      </c>
      <c r="I1388" s="153">
        <v>9000</v>
      </c>
      <c r="J1388" s="154">
        <f t="shared" si="43"/>
        <v>81000</v>
      </c>
      <c r="M1388" s="52">
        <v>11050</v>
      </c>
    </row>
    <row r="1389" spans="2:13" ht="15" customHeight="1" x14ac:dyDescent="0.3">
      <c r="B1389" s="135">
        <v>14</v>
      </c>
      <c r="E1389" s="151">
        <v>9</v>
      </c>
      <c r="F1389" s="152" t="s">
        <v>809</v>
      </c>
      <c r="G1389" s="152" t="s">
        <v>805</v>
      </c>
      <c r="H1389" s="153">
        <v>44000</v>
      </c>
      <c r="I1389" s="153">
        <v>4400</v>
      </c>
      <c r="J1389" s="154">
        <f t="shared" si="43"/>
        <v>39600</v>
      </c>
      <c r="M1389" s="52">
        <v>11050</v>
      </c>
    </row>
    <row r="1390" spans="2:13" ht="15" customHeight="1" x14ac:dyDescent="0.3">
      <c r="B1390" s="135">
        <v>14</v>
      </c>
      <c r="E1390" s="151">
        <v>10</v>
      </c>
      <c r="F1390" s="152" t="s">
        <v>810</v>
      </c>
      <c r="G1390" s="152"/>
      <c r="H1390" s="153">
        <v>150000</v>
      </c>
      <c r="I1390" s="153">
        <v>0</v>
      </c>
      <c r="J1390" s="154">
        <f t="shared" si="43"/>
        <v>150000</v>
      </c>
      <c r="M1390" s="52" t="s">
        <v>535</v>
      </c>
    </row>
    <row r="1391" spans="2:13" ht="15" customHeight="1" x14ac:dyDescent="0.3">
      <c r="B1391" s="135">
        <v>14</v>
      </c>
      <c r="E1391" s="151">
        <v>10</v>
      </c>
      <c r="F1391" s="152" t="s">
        <v>811</v>
      </c>
      <c r="G1391" s="152"/>
      <c r="H1391" s="153">
        <v>100000</v>
      </c>
      <c r="I1391" s="153">
        <v>0</v>
      </c>
      <c r="J1391" s="154">
        <f t="shared" si="43"/>
        <v>100000</v>
      </c>
      <c r="M1391" s="52" t="s">
        <v>535</v>
      </c>
    </row>
    <row r="1392" spans="2:13" ht="15" customHeight="1" x14ac:dyDescent="0.3">
      <c r="B1392" s="135">
        <v>14</v>
      </c>
      <c r="E1392" s="151">
        <v>12</v>
      </c>
      <c r="F1392" s="152" t="s">
        <v>812</v>
      </c>
      <c r="G1392" s="152" t="s">
        <v>564</v>
      </c>
      <c r="H1392" s="153">
        <v>6496.1</v>
      </c>
      <c r="I1392" s="153">
        <v>0</v>
      </c>
      <c r="J1392" s="154">
        <f t="shared" si="43"/>
        <v>6496.1</v>
      </c>
      <c r="M1392" s="52">
        <v>11056</v>
      </c>
    </row>
    <row r="1393" spans="2:13" ht="15" customHeight="1" x14ac:dyDescent="0.3">
      <c r="B1393" s="135">
        <v>14</v>
      </c>
      <c r="E1393" s="151">
        <v>13</v>
      </c>
      <c r="F1393" s="152" t="s">
        <v>812</v>
      </c>
      <c r="G1393" s="152" t="s">
        <v>564</v>
      </c>
      <c r="H1393" s="153">
        <v>6496.1</v>
      </c>
      <c r="I1393" s="153">
        <v>0</v>
      </c>
      <c r="J1393" s="154">
        <f t="shared" si="43"/>
        <v>6496.1</v>
      </c>
      <c r="M1393" s="52">
        <v>11056</v>
      </c>
    </row>
    <row r="1394" spans="2:13" ht="15" customHeight="1" x14ac:dyDescent="0.3">
      <c r="B1394" s="135">
        <v>14</v>
      </c>
      <c r="E1394" s="151">
        <v>13</v>
      </c>
      <c r="F1394" s="152" t="s">
        <v>812</v>
      </c>
      <c r="G1394" s="152" t="s">
        <v>564</v>
      </c>
      <c r="H1394" s="153">
        <v>-6496.1</v>
      </c>
      <c r="I1394" s="153">
        <v>0</v>
      </c>
      <c r="J1394" s="154">
        <f t="shared" si="43"/>
        <v>-6496.1</v>
      </c>
      <c r="M1394" s="52">
        <v>11056</v>
      </c>
    </row>
    <row r="1395" spans="2:13" ht="15" customHeight="1" x14ac:dyDescent="0.3">
      <c r="B1395" s="135">
        <v>14</v>
      </c>
      <c r="E1395" s="151">
        <v>15</v>
      </c>
      <c r="F1395" s="152" t="s">
        <v>340</v>
      </c>
      <c r="G1395" s="152" t="s">
        <v>813</v>
      </c>
      <c r="H1395" s="153">
        <v>551.36</v>
      </c>
      <c r="I1395" s="153">
        <v>0</v>
      </c>
      <c r="J1395" s="154">
        <f t="shared" si="43"/>
        <v>551.36</v>
      </c>
      <c r="M1395" s="52">
        <v>11058</v>
      </c>
    </row>
    <row r="1396" spans="2:13" ht="15" customHeight="1" x14ac:dyDescent="0.3">
      <c r="B1396" s="135">
        <v>14</v>
      </c>
      <c r="E1396" s="151">
        <v>15</v>
      </c>
      <c r="F1396" s="152" t="s">
        <v>340</v>
      </c>
      <c r="G1396" s="152" t="s">
        <v>813</v>
      </c>
      <c r="H1396" s="153">
        <v>344.3</v>
      </c>
      <c r="I1396" s="153">
        <v>0</v>
      </c>
      <c r="J1396" s="154">
        <f t="shared" si="43"/>
        <v>344.3</v>
      </c>
      <c r="M1396" s="52">
        <v>11058</v>
      </c>
    </row>
    <row r="1397" spans="2:13" ht="15" customHeight="1" x14ac:dyDescent="0.3">
      <c r="B1397" s="135">
        <v>14</v>
      </c>
      <c r="E1397" s="151">
        <v>15</v>
      </c>
      <c r="F1397" s="152" t="s">
        <v>340</v>
      </c>
      <c r="G1397" s="152" t="s">
        <v>813</v>
      </c>
      <c r="H1397" s="153">
        <v>2252.1799999999998</v>
      </c>
      <c r="I1397" s="153">
        <v>0</v>
      </c>
      <c r="J1397" s="154">
        <f t="shared" si="43"/>
        <v>2252.1799999999998</v>
      </c>
      <c r="M1397" s="52">
        <v>11058</v>
      </c>
    </row>
    <row r="1398" spans="2:13" ht="15" customHeight="1" x14ac:dyDescent="0.3">
      <c r="B1398" s="135">
        <v>14</v>
      </c>
      <c r="E1398" s="151">
        <v>15</v>
      </c>
      <c r="F1398" s="152" t="s">
        <v>340</v>
      </c>
      <c r="G1398" s="152" t="s">
        <v>813</v>
      </c>
      <c r="H1398" s="153">
        <v>58.4</v>
      </c>
      <c r="I1398" s="153">
        <v>0</v>
      </c>
      <c r="J1398" s="154">
        <f t="shared" si="43"/>
        <v>58.4</v>
      </c>
      <c r="M1398" s="52">
        <v>11058</v>
      </c>
    </row>
    <row r="1399" spans="2:13" ht="15" customHeight="1" x14ac:dyDescent="0.3">
      <c r="B1399" s="135">
        <v>14</v>
      </c>
      <c r="E1399" s="151">
        <v>15</v>
      </c>
      <c r="F1399" s="152" t="s">
        <v>340</v>
      </c>
      <c r="G1399" s="152" t="s">
        <v>813</v>
      </c>
      <c r="H1399" s="153">
        <v>151.72</v>
      </c>
      <c r="I1399" s="153">
        <v>0</v>
      </c>
      <c r="J1399" s="154">
        <f t="shared" si="43"/>
        <v>151.72</v>
      </c>
      <c r="M1399" s="52">
        <v>11058</v>
      </c>
    </row>
    <row r="1400" spans="2:13" ht="15" customHeight="1" x14ac:dyDescent="0.3">
      <c r="B1400" s="135">
        <v>14</v>
      </c>
      <c r="E1400" s="151">
        <v>15</v>
      </c>
      <c r="F1400" s="152" t="s">
        <v>340</v>
      </c>
      <c r="G1400" s="152" t="s">
        <v>813</v>
      </c>
      <c r="H1400" s="153">
        <v>2001.8</v>
      </c>
      <c r="I1400" s="153">
        <v>0</v>
      </c>
      <c r="J1400" s="154">
        <f t="shared" si="43"/>
        <v>2001.8</v>
      </c>
      <c r="M1400" s="52">
        <v>11058</v>
      </c>
    </row>
    <row r="1401" spans="2:13" ht="15" customHeight="1" x14ac:dyDescent="0.3">
      <c r="B1401" s="135">
        <v>14</v>
      </c>
      <c r="E1401" s="151">
        <v>15</v>
      </c>
      <c r="F1401" s="152" t="s">
        <v>340</v>
      </c>
      <c r="G1401" s="152" t="s">
        <v>813</v>
      </c>
      <c r="H1401" s="153">
        <v>1251.46</v>
      </c>
      <c r="I1401" s="153">
        <v>0</v>
      </c>
      <c r="J1401" s="154">
        <f t="shared" si="43"/>
        <v>1251.46</v>
      </c>
      <c r="M1401" s="52">
        <v>11058</v>
      </c>
    </row>
    <row r="1402" spans="2:13" ht="15" customHeight="1" x14ac:dyDescent="0.3">
      <c r="B1402" s="135">
        <v>14</v>
      </c>
      <c r="E1402" s="151">
        <v>15</v>
      </c>
      <c r="F1402" s="152" t="s">
        <v>340</v>
      </c>
      <c r="G1402" s="152" t="s">
        <v>813</v>
      </c>
      <c r="H1402" s="153">
        <v>1388.7799999999997</v>
      </c>
      <c r="I1402" s="153">
        <v>800</v>
      </c>
      <c r="J1402" s="154">
        <f t="shared" si="43"/>
        <v>588.77999999999975</v>
      </c>
      <c r="M1402" s="52">
        <v>11058</v>
      </c>
    </row>
    <row r="1403" spans="2:13" ht="15" customHeight="1" x14ac:dyDescent="0.3">
      <c r="B1403" s="135">
        <v>14</v>
      </c>
      <c r="E1403" s="151">
        <v>16</v>
      </c>
      <c r="F1403" s="152" t="s">
        <v>797</v>
      </c>
      <c r="G1403" s="152" t="s">
        <v>686</v>
      </c>
      <c r="H1403" s="153">
        <v>30750</v>
      </c>
      <c r="I1403" s="153">
        <v>3075</v>
      </c>
      <c r="J1403" s="154">
        <f t="shared" si="43"/>
        <v>27675</v>
      </c>
      <c r="M1403" s="52">
        <v>11060</v>
      </c>
    </row>
    <row r="1404" spans="2:13" ht="15" customHeight="1" x14ac:dyDescent="0.3">
      <c r="B1404" s="135">
        <v>14</v>
      </c>
      <c r="E1404" s="151">
        <v>16</v>
      </c>
      <c r="F1404" s="152" t="s">
        <v>814</v>
      </c>
      <c r="G1404" s="152" t="s">
        <v>564</v>
      </c>
      <c r="H1404" s="153">
        <v>4742.58</v>
      </c>
      <c r="I1404" s="153">
        <v>0</v>
      </c>
      <c r="J1404" s="154">
        <f t="shared" si="43"/>
        <v>4742.58</v>
      </c>
      <c r="M1404" s="52">
        <v>11054</v>
      </c>
    </row>
    <row r="1405" spans="2:13" ht="15" customHeight="1" x14ac:dyDescent="0.3">
      <c r="B1405" s="135">
        <v>14</v>
      </c>
      <c r="E1405" s="151">
        <v>18</v>
      </c>
      <c r="F1405" s="152" t="s">
        <v>6</v>
      </c>
      <c r="G1405" s="152" t="s">
        <v>801</v>
      </c>
      <c r="H1405" s="153">
        <v>16666.666666666668</v>
      </c>
      <c r="I1405" s="153">
        <v>1666.666666666667</v>
      </c>
      <c r="J1405" s="154">
        <f t="shared" si="43"/>
        <v>15000</v>
      </c>
      <c r="M1405" s="52" t="s">
        <v>535</v>
      </c>
    </row>
    <row r="1406" spans="2:13" ht="15" customHeight="1" x14ac:dyDescent="0.3">
      <c r="B1406" s="135">
        <v>15</v>
      </c>
      <c r="E1406" s="151">
        <v>1</v>
      </c>
      <c r="F1406" s="152" t="s">
        <v>248</v>
      </c>
      <c r="G1406" s="152" t="s">
        <v>286</v>
      </c>
      <c r="H1406" s="153">
        <v>10</v>
      </c>
      <c r="I1406" s="153">
        <v>0</v>
      </c>
      <c r="J1406" s="154">
        <f t="shared" si="43"/>
        <v>10</v>
      </c>
      <c r="M1406" s="52">
        <v>11063</v>
      </c>
    </row>
    <row r="1407" spans="2:13" ht="15" customHeight="1" x14ac:dyDescent="0.3">
      <c r="B1407" s="135">
        <v>15</v>
      </c>
      <c r="E1407" s="151">
        <v>1</v>
      </c>
      <c r="F1407" s="152" t="s">
        <v>354</v>
      </c>
      <c r="G1407" s="152" t="s">
        <v>255</v>
      </c>
      <c r="H1407" s="153">
        <v>187.27</v>
      </c>
      <c r="I1407" s="153">
        <v>0</v>
      </c>
      <c r="J1407" s="154">
        <f t="shared" si="43"/>
        <v>187.27</v>
      </c>
      <c r="M1407" s="52">
        <v>11066</v>
      </c>
    </row>
    <row r="1408" spans="2:13" ht="15" customHeight="1" x14ac:dyDescent="0.3">
      <c r="B1408" s="135">
        <v>15</v>
      </c>
      <c r="E1408" s="151">
        <v>1</v>
      </c>
      <c r="F1408" s="152" t="s">
        <v>831</v>
      </c>
      <c r="G1408" s="152" t="s">
        <v>832</v>
      </c>
      <c r="H1408" s="153">
        <v>32.39</v>
      </c>
      <c r="I1408" s="153">
        <v>0</v>
      </c>
      <c r="J1408" s="154">
        <f t="shared" si="43"/>
        <v>32.39</v>
      </c>
      <c r="M1408" s="52">
        <v>11070</v>
      </c>
    </row>
    <row r="1409" spans="2:13" ht="15" customHeight="1" x14ac:dyDescent="0.3">
      <c r="B1409" s="135">
        <v>15</v>
      </c>
      <c r="E1409" s="151">
        <v>1</v>
      </c>
      <c r="F1409" s="152" t="s">
        <v>257</v>
      </c>
      <c r="G1409" s="152" t="s">
        <v>351</v>
      </c>
      <c r="H1409" s="153">
        <v>1521.58</v>
      </c>
      <c r="I1409" s="153">
        <v>0</v>
      </c>
      <c r="J1409" s="154">
        <f t="shared" si="43"/>
        <v>1521.58</v>
      </c>
      <c r="M1409" s="52">
        <v>11073</v>
      </c>
    </row>
    <row r="1410" spans="2:13" ht="15" customHeight="1" x14ac:dyDescent="0.3">
      <c r="B1410" s="135">
        <v>15</v>
      </c>
      <c r="E1410" s="151">
        <v>1</v>
      </c>
      <c r="F1410" s="152" t="s">
        <v>354</v>
      </c>
      <c r="G1410" s="152" t="s">
        <v>255</v>
      </c>
      <c r="H1410" s="153">
        <v>187.27</v>
      </c>
      <c r="I1410" s="153">
        <v>0</v>
      </c>
      <c r="J1410" s="154">
        <f t="shared" si="43"/>
        <v>187.27</v>
      </c>
      <c r="M1410" s="52">
        <v>11077</v>
      </c>
    </row>
    <row r="1411" spans="2:13" ht="15" customHeight="1" x14ac:dyDescent="0.3">
      <c r="B1411" s="135">
        <v>15</v>
      </c>
      <c r="E1411" s="151">
        <v>1</v>
      </c>
      <c r="F1411" s="152" t="s">
        <v>354</v>
      </c>
      <c r="G1411" s="152" t="s">
        <v>255</v>
      </c>
      <c r="H1411" s="153">
        <v>187.27</v>
      </c>
      <c r="I1411" s="153">
        <v>0</v>
      </c>
      <c r="J1411" s="154">
        <f t="shared" si="43"/>
        <v>187.27</v>
      </c>
      <c r="M1411" s="52">
        <v>11078</v>
      </c>
    </row>
    <row r="1412" spans="2:13" ht="15" customHeight="1" x14ac:dyDescent="0.3">
      <c r="B1412" s="135">
        <v>15</v>
      </c>
      <c r="E1412" s="151">
        <v>1</v>
      </c>
      <c r="F1412" s="152" t="s">
        <v>352</v>
      </c>
      <c r="G1412" s="152" t="s">
        <v>255</v>
      </c>
      <c r="H1412" s="153">
        <v>921.75</v>
      </c>
      <c r="I1412" s="153">
        <v>0</v>
      </c>
      <c r="J1412" s="154">
        <f t="shared" si="43"/>
        <v>921.75</v>
      </c>
      <c r="M1412" s="52">
        <v>11079</v>
      </c>
    </row>
    <row r="1413" spans="2:13" ht="15" customHeight="1" x14ac:dyDescent="0.3">
      <c r="B1413" s="135">
        <v>15</v>
      </c>
      <c r="E1413" s="151">
        <v>1</v>
      </c>
      <c r="F1413" s="152" t="s">
        <v>354</v>
      </c>
      <c r="G1413" s="152" t="s">
        <v>255</v>
      </c>
      <c r="H1413" s="153">
        <v>187.27</v>
      </c>
      <c r="I1413" s="153">
        <v>0</v>
      </c>
      <c r="J1413" s="154">
        <f t="shared" si="43"/>
        <v>187.27</v>
      </c>
      <c r="M1413" s="52">
        <v>11080</v>
      </c>
    </row>
    <row r="1414" spans="2:13" ht="15" customHeight="1" x14ac:dyDescent="0.3">
      <c r="B1414" s="135">
        <v>15</v>
      </c>
      <c r="E1414" s="151">
        <v>1</v>
      </c>
      <c r="F1414" s="152" t="s">
        <v>354</v>
      </c>
      <c r="G1414" s="152" t="s">
        <v>255</v>
      </c>
      <c r="H1414" s="153">
        <v>190.52</v>
      </c>
      <c r="I1414" s="153">
        <v>0</v>
      </c>
      <c r="J1414" s="154">
        <f t="shared" si="43"/>
        <v>190.52</v>
      </c>
      <c r="M1414" s="52">
        <v>11081</v>
      </c>
    </row>
    <row r="1415" spans="2:13" ht="15" customHeight="1" x14ac:dyDescent="0.3">
      <c r="B1415" s="135">
        <v>15</v>
      </c>
      <c r="E1415" s="151">
        <v>1</v>
      </c>
      <c r="F1415" s="152" t="s">
        <v>354</v>
      </c>
      <c r="G1415" s="152" t="s">
        <v>255</v>
      </c>
      <c r="H1415" s="153">
        <v>190.52</v>
      </c>
      <c r="I1415" s="153">
        <v>0</v>
      </c>
      <c r="J1415" s="154">
        <f t="shared" si="43"/>
        <v>190.52</v>
      </c>
      <c r="M1415" s="52">
        <v>11082</v>
      </c>
    </row>
    <row r="1416" spans="2:13" ht="15" customHeight="1" x14ac:dyDescent="0.3">
      <c r="B1416" s="135">
        <v>15</v>
      </c>
      <c r="E1416" s="151">
        <v>1</v>
      </c>
      <c r="F1416" s="152" t="s">
        <v>354</v>
      </c>
      <c r="G1416" s="152" t="s">
        <v>255</v>
      </c>
      <c r="H1416" s="153">
        <v>187.27</v>
      </c>
      <c r="I1416" s="153">
        <v>0</v>
      </c>
      <c r="J1416" s="154">
        <f t="shared" si="43"/>
        <v>187.27</v>
      </c>
      <c r="M1416" s="52">
        <v>11083</v>
      </c>
    </row>
    <row r="1417" spans="2:13" ht="15" customHeight="1" x14ac:dyDescent="0.3">
      <c r="B1417" s="135">
        <v>15</v>
      </c>
      <c r="E1417" s="151">
        <v>1</v>
      </c>
      <c r="F1417" s="152" t="s">
        <v>354</v>
      </c>
      <c r="G1417" s="152" t="s">
        <v>255</v>
      </c>
      <c r="H1417" s="153">
        <v>172.33</v>
      </c>
      <c r="I1417" s="153">
        <v>0</v>
      </c>
      <c r="J1417" s="154">
        <f t="shared" si="43"/>
        <v>172.33</v>
      </c>
      <c r="M1417" s="52">
        <v>11084</v>
      </c>
    </row>
    <row r="1418" spans="2:13" ht="15" customHeight="1" x14ac:dyDescent="0.3">
      <c r="B1418" s="135">
        <v>15</v>
      </c>
      <c r="E1418" s="151">
        <v>1</v>
      </c>
      <c r="F1418" s="152" t="s">
        <v>354</v>
      </c>
      <c r="G1418" s="152" t="s">
        <v>255</v>
      </c>
      <c r="H1418" s="153">
        <v>172.33</v>
      </c>
      <c r="I1418" s="153">
        <v>0</v>
      </c>
      <c r="J1418" s="154">
        <f t="shared" si="43"/>
        <v>172.33</v>
      </c>
      <c r="M1418" s="52">
        <v>11085</v>
      </c>
    </row>
    <row r="1419" spans="2:13" ht="15" customHeight="1" x14ac:dyDescent="0.3">
      <c r="B1419" s="135">
        <v>15</v>
      </c>
      <c r="E1419" s="151">
        <v>1</v>
      </c>
      <c r="F1419" s="152" t="s">
        <v>354</v>
      </c>
      <c r="G1419" s="152" t="s">
        <v>833</v>
      </c>
      <c r="H1419" s="153">
        <v>1038.1199999999999</v>
      </c>
      <c r="I1419" s="153">
        <v>0</v>
      </c>
      <c r="J1419" s="154">
        <f t="shared" si="43"/>
        <v>1038.1199999999999</v>
      </c>
      <c r="M1419" s="52">
        <v>11086</v>
      </c>
    </row>
    <row r="1420" spans="2:13" ht="15" customHeight="1" x14ac:dyDescent="0.3">
      <c r="B1420" s="135">
        <v>15</v>
      </c>
      <c r="E1420" s="151">
        <v>1</v>
      </c>
      <c r="F1420" s="152" t="s">
        <v>354</v>
      </c>
      <c r="G1420" s="152" t="s">
        <v>833</v>
      </c>
      <c r="H1420" s="153">
        <v>187.27</v>
      </c>
      <c r="I1420" s="153">
        <v>0</v>
      </c>
      <c r="J1420" s="154">
        <f t="shared" si="43"/>
        <v>187.27</v>
      </c>
      <c r="M1420" s="52">
        <v>11087</v>
      </c>
    </row>
    <row r="1421" spans="2:13" ht="15" customHeight="1" x14ac:dyDescent="0.3">
      <c r="B1421" s="135">
        <v>15</v>
      </c>
      <c r="E1421" s="151">
        <v>1</v>
      </c>
      <c r="F1421" s="152" t="s">
        <v>257</v>
      </c>
      <c r="G1421" s="152" t="s">
        <v>351</v>
      </c>
      <c r="H1421" s="153">
        <v>1521.58</v>
      </c>
      <c r="I1421" s="153">
        <v>0</v>
      </c>
      <c r="J1421" s="154">
        <f t="shared" si="43"/>
        <v>1521.58</v>
      </c>
      <c r="M1421" s="52">
        <v>11088</v>
      </c>
    </row>
    <row r="1422" spans="2:13" ht="15" customHeight="1" x14ac:dyDescent="0.3">
      <c r="B1422" s="135">
        <v>15</v>
      </c>
      <c r="E1422" s="151">
        <v>1</v>
      </c>
      <c r="F1422" s="152" t="s">
        <v>257</v>
      </c>
      <c r="G1422" s="152" t="s">
        <v>351</v>
      </c>
      <c r="H1422" s="153">
        <v>1613.43</v>
      </c>
      <c r="I1422" s="153">
        <v>0</v>
      </c>
      <c r="J1422" s="154">
        <f t="shared" si="43"/>
        <v>1613.43</v>
      </c>
      <c r="M1422" s="52">
        <v>11089</v>
      </c>
    </row>
    <row r="1423" spans="2:13" ht="15" customHeight="1" x14ac:dyDescent="0.3">
      <c r="B1423" s="135">
        <v>15</v>
      </c>
      <c r="E1423" s="151">
        <v>1</v>
      </c>
      <c r="F1423" s="152" t="s">
        <v>831</v>
      </c>
      <c r="G1423" s="152" t="s">
        <v>834</v>
      </c>
      <c r="H1423" s="153">
        <v>60.65</v>
      </c>
      <c r="I1423" s="153">
        <v>0</v>
      </c>
      <c r="J1423" s="154">
        <f t="shared" si="43"/>
        <v>60.65</v>
      </c>
      <c r="M1423" s="52">
        <v>11096</v>
      </c>
    </row>
    <row r="1424" spans="2:13" ht="15" customHeight="1" x14ac:dyDescent="0.3">
      <c r="B1424" s="135">
        <v>15</v>
      </c>
      <c r="E1424" s="151">
        <v>1</v>
      </c>
      <c r="F1424" s="152" t="s">
        <v>241</v>
      </c>
      <c r="G1424" s="152" t="s">
        <v>238</v>
      </c>
      <c r="H1424" s="153">
        <v>521.77</v>
      </c>
      <c r="I1424" s="153">
        <v>0</v>
      </c>
      <c r="J1424" s="154">
        <f t="shared" si="43"/>
        <v>521.77</v>
      </c>
      <c r="M1424" s="52">
        <v>11097</v>
      </c>
    </row>
    <row r="1425" spans="2:13" ht="15" customHeight="1" x14ac:dyDescent="0.3">
      <c r="B1425" s="135">
        <v>15</v>
      </c>
      <c r="E1425" s="151">
        <v>1</v>
      </c>
      <c r="F1425" s="152" t="s">
        <v>831</v>
      </c>
      <c r="G1425" s="152" t="s">
        <v>835</v>
      </c>
      <c r="H1425" s="153">
        <v>64.89</v>
      </c>
      <c r="I1425" s="153">
        <v>0</v>
      </c>
      <c r="J1425" s="154">
        <f t="shared" si="43"/>
        <v>64.89</v>
      </c>
      <c r="M1425" s="52">
        <v>11106</v>
      </c>
    </row>
    <row r="1426" spans="2:13" ht="15" customHeight="1" x14ac:dyDescent="0.3">
      <c r="B1426" s="135">
        <v>15</v>
      </c>
      <c r="E1426" s="151">
        <v>1</v>
      </c>
      <c r="F1426" s="152" t="s">
        <v>831</v>
      </c>
      <c r="G1426" s="152" t="s">
        <v>836</v>
      </c>
      <c r="H1426" s="153">
        <v>21.01</v>
      </c>
      <c r="I1426" s="153">
        <v>0</v>
      </c>
      <c r="J1426" s="154">
        <f t="shared" si="43"/>
        <v>21.01</v>
      </c>
      <c r="M1426" s="52">
        <v>11119</v>
      </c>
    </row>
    <row r="1427" spans="2:13" ht="15" customHeight="1" x14ac:dyDescent="0.3">
      <c r="B1427" s="135">
        <v>15</v>
      </c>
      <c r="E1427" s="151">
        <v>1</v>
      </c>
      <c r="F1427" s="152" t="s">
        <v>174</v>
      </c>
      <c r="G1427" s="152" t="s">
        <v>237</v>
      </c>
      <c r="H1427" s="153">
        <v>277.66000000000003</v>
      </c>
      <c r="I1427" s="153">
        <v>0</v>
      </c>
      <c r="J1427" s="154">
        <f t="shared" si="43"/>
        <v>277.66000000000003</v>
      </c>
      <c r="M1427" s="52">
        <v>11142</v>
      </c>
    </row>
    <row r="1428" spans="2:13" ht="15" customHeight="1" x14ac:dyDescent="0.3">
      <c r="B1428" s="135">
        <v>15</v>
      </c>
      <c r="E1428" s="151">
        <v>1</v>
      </c>
      <c r="F1428" s="152" t="s">
        <v>583</v>
      </c>
      <c r="G1428" s="152" t="s">
        <v>584</v>
      </c>
      <c r="H1428" s="153">
        <v>1108.25</v>
      </c>
      <c r="I1428" s="153">
        <v>0</v>
      </c>
      <c r="J1428" s="154">
        <f t="shared" si="43"/>
        <v>1108.25</v>
      </c>
      <c r="M1428" s="52">
        <v>11151</v>
      </c>
    </row>
    <row r="1429" spans="2:13" ht="15" customHeight="1" x14ac:dyDescent="0.3">
      <c r="B1429" s="135">
        <v>15</v>
      </c>
      <c r="E1429" s="151">
        <v>1</v>
      </c>
      <c r="F1429" s="152" t="s">
        <v>241</v>
      </c>
      <c r="G1429" s="152" t="s">
        <v>238</v>
      </c>
      <c r="H1429" s="153">
        <v>521.77</v>
      </c>
      <c r="I1429" s="153">
        <v>0</v>
      </c>
      <c r="J1429" s="154">
        <f t="shared" si="43"/>
        <v>521.77</v>
      </c>
      <c r="M1429" s="52">
        <v>11154</v>
      </c>
    </row>
    <row r="1430" spans="2:13" ht="15" customHeight="1" x14ac:dyDescent="0.3">
      <c r="B1430" s="135">
        <v>15</v>
      </c>
      <c r="E1430" s="151">
        <v>1</v>
      </c>
      <c r="F1430" s="152" t="s">
        <v>697</v>
      </c>
      <c r="G1430" s="152" t="s">
        <v>580</v>
      </c>
      <c r="H1430" s="153">
        <v>1586.97</v>
      </c>
      <c r="I1430" s="153">
        <v>0</v>
      </c>
      <c r="J1430" s="154">
        <f t="shared" si="43"/>
        <v>1586.97</v>
      </c>
      <c r="M1430" s="52">
        <v>11159</v>
      </c>
    </row>
    <row r="1431" spans="2:13" ht="15" customHeight="1" x14ac:dyDescent="0.3">
      <c r="B1431" s="135">
        <v>15</v>
      </c>
      <c r="E1431" s="151">
        <v>1</v>
      </c>
      <c r="F1431" s="152" t="s">
        <v>257</v>
      </c>
      <c r="G1431" s="152" t="s">
        <v>351</v>
      </c>
      <c r="H1431" s="153">
        <v>2105.2199999999998</v>
      </c>
      <c r="I1431" s="153">
        <v>0</v>
      </c>
      <c r="J1431" s="154">
        <f t="shared" si="43"/>
        <v>2105.2199999999998</v>
      </c>
      <c r="M1431" s="52">
        <v>11165</v>
      </c>
    </row>
    <row r="1432" spans="2:13" ht="15" customHeight="1" x14ac:dyDescent="0.3">
      <c r="B1432" s="135">
        <v>15</v>
      </c>
      <c r="E1432" s="151">
        <v>1</v>
      </c>
      <c r="F1432" s="152" t="s">
        <v>354</v>
      </c>
      <c r="G1432" s="152" t="s">
        <v>833</v>
      </c>
      <c r="H1432" s="153">
        <v>187.27</v>
      </c>
      <c r="I1432" s="153">
        <v>0</v>
      </c>
      <c r="J1432" s="154">
        <f t="shared" si="43"/>
        <v>187.27</v>
      </c>
      <c r="M1432" s="52">
        <v>11175</v>
      </c>
    </row>
    <row r="1433" spans="2:13" ht="15" customHeight="1" x14ac:dyDescent="0.3">
      <c r="B1433" s="135">
        <v>15</v>
      </c>
      <c r="E1433" s="151">
        <v>1</v>
      </c>
      <c r="F1433" s="152" t="s">
        <v>354</v>
      </c>
      <c r="G1433" s="152" t="s">
        <v>833</v>
      </c>
      <c r="H1433" s="153">
        <v>187.27</v>
      </c>
      <c r="I1433" s="153">
        <v>0</v>
      </c>
      <c r="J1433" s="154">
        <f t="shared" si="43"/>
        <v>187.27</v>
      </c>
      <c r="M1433" s="52">
        <v>11176</v>
      </c>
    </row>
    <row r="1434" spans="2:13" ht="15" customHeight="1" x14ac:dyDescent="0.3">
      <c r="B1434" s="135">
        <v>15</v>
      </c>
      <c r="E1434" s="151">
        <v>1</v>
      </c>
      <c r="F1434" s="152" t="s">
        <v>831</v>
      </c>
      <c r="G1434" s="152" t="s">
        <v>837</v>
      </c>
      <c r="H1434" s="153">
        <v>108.23</v>
      </c>
      <c r="I1434" s="153">
        <v>0</v>
      </c>
      <c r="J1434" s="154">
        <f t="shared" si="43"/>
        <v>108.23</v>
      </c>
      <c r="M1434" s="52">
        <v>11178</v>
      </c>
    </row>
    <row r="1435" spans="2:13" ht="15" customHeight="1" x14ac:dyDescent="0.3">
      <c r="B1435" s="135">
        <v>15</v>
      </c>
      <c r="E1435" s="151">
        <v>1</v>
      </c>
      <c r="F1435" s="152" t="s">
        <v>257</v>
      </c>
      <c r="G1435" s="152" t="s">
        <v>351</v>
      </c>
      <c r="H1435" s="153">
        <v>1052.6099999999999</v>
      </c>
      <c r="I1435" s="153">
        <v>0</v>
      </c>
      <c r="J1435" s="154">
        <f t="shared" si="43"/>
        <v>1052.6099999999999</v>
      </c>
      <c r="M1435" s="52">
        <v>11185</v>
      </c>
    </row>
    <row r="1436" spans="2:13" ht="15" customHeight="1" x14ac:dyDescent="0.3">
      <c r="B1436" s="135">
        <v>15</v>
      </c>
      <c r="E1436" s="151">
        <v>1</v>
      </c>
      <c r="F1436" s="152" t="s">
        <v>257</v>
      </c>
      <c r="G1436" s="152" t="s">
        <v>351</v>
      </c>
      <c r="H1436" s="153">
        <v>491.79</v>
      </c>
      <c r="I1436" s="153">
        <v>0</v>
      </c>
      <c r="J1436" s="154">
        <f t="shared" si="43"/>
        <v>491.79</v>
      </c>
      <c r="M1436" s="52">
        <v>11186</v>
      </c>
    </row>
    <row r="1437" spans="2:13" ht="15" customHeight="1" x14ac:dyDescent="0.3">
      <c r="B1437" s="135">
        <v>15</v>
      </c>
      <c r="E1437" s="151">
        <v>1</v>
      </c>
      <c r="F1437" s="152" t="s">
        <v>831</v>
      </c>
      <c r="G1437" s="152" t="s">
        <v>835</v>
      </c>
      <c r="H1437" s="153">
        <v>64.89</v>
      </c>
      <c r="I1437" s="153">
        <v>0</v>
      </c>
      <c r="J1437" s="154">
        <f t="shared" si="43"/>
        <v>64.89</v>
      </c>
      <c r="M1437" s="52">
        <v>11189</v>
      </c>
    </row>
    <row r="1438" spans="2:13" ht="15" customHeight="1" x14ac:dyDescent="0.3">
      <c r="B1438" s="135">
        <v>15</v>
      </c>
      <c r="E1438" s="151">
        <v>1</v>
      </c>
      <c r="F1438" s="152" t="s">
        <v>352</v>
      </c>
      <c r="G1438" s="152" t="s">
        <v>833</v>
      </c>
      <c r="H1438" s="153">
        <v>921.75</v>
      </c>
      <c r="I1438" s="153">
        <v>0</v>
      </c>
      <c r="J1438" s="154">
        <f t="shared" si="43"/>
        <v>921.75</v>
      </c>
      <c r="M1438" s="52">
        <v>11190</v>
      </c>
    </row>
    <row r="1439" spans="2:13" ht="15" customHeight="1" x14ac:dyDescent="0.3">
      <c r="B1439" s="135">
        <v>15</v>
      </c>
      <c r="E1439" s="151">
        <v>1</v>
      </c>
      <c r="F1439" s="152" t="s">
        <v>354</v>
      </c>
      <c r="G1439" s="152" t="s">
        <v>833</v>
      </c>
      <c r="H1439" s="153">
        <v>214.06</v>
      </c>
      <c r="I1439" s="153">
        <v>0</v>
      </c>
      <c r="J1439" s="154">
        <f t="shared" si="43"/>
        <v>214.06</v>
      </c>
      <c r="M1439" s="52">
        <v>11197</v>
      </c>
    </row>
    <row r="1440" spans="2:13" ht="15" customHeight="1" x14ac:dyDescent="0.3">
      <c r="B1440" s="135">
        <v>15</v>
      </c>
      <c r="E1440" s="151">
        <v>1</v>
      </c>
      <c r="F1440" s="152" t="s">
        <v>354</v>
      </c>
      <c r="G1440" s="152" t="s">
        <v>833</v>
      </c>
      <c r="H1440" s="153">
        <v>214.06</v>
      </c>
      <c r="I1440" s="153">
        <v>0</v>
      </c>
      <c r="J1440" s="154">
        <f t="shared" si="43"/>
        <v>214.06</v>
      </c>
      <c r="M1440" s="52">
        <v>11199</v>
      </c>
    </row>
    <row r="1441" spans="2:13" ht="15" customHeight="1" x14ac:dyDescent="0.3">
      <c r="B1441" s="135">
        <v>15</v>
      </c>
      <c r="E1441" s="151">
        <v>1</v>
      </c>
      <c r="F1441" s="152" t="s">
        <v>354</v>
      </c>
      <c r="G1441" s="152" t="s">
        <v>833</v>
      </c>
      <c r="H1441" s="153">
        <v>190.52</v>
      </c>
      <c r="I1441" s="153">
        <v>0</v>
      </c>
      <c r="J1441" s="154">
        <f t="shared" si="43"/>
        <v>190.52</v>
      </c>
      <c r="M1441" s="52">
        <v>11200</v>
      </c>
    </row>
    <row r="1442" spans="2:13" ht="15" customHeight="1" x14ac:dyDescent="0.3">
      <c r="B1442" s="135">
        <v>15</v>
      </c>
      <c r="E1442" s="151">
        <v>1</v>
      </c>
      <c r="F1442" s="152" t="s">
        <v>354</v>
      </c>
      <c r="G1442" s="152" t="s">
        <v>833</v>
      </c>
      <c r="H1442" s="153">
        <v>190.52</v>
      </c>
      <c r="I1442" s="153">
        <v>0</v>
      </c>
      <c r="J1442" s="154">
        <f t="shared" si="43"/>
        <v>190.52</v>
      </c>
      <c r="M1442" s="52">
        <v>11201</v>
      </c>
    </row>
    <row r="1443" spans="2:13" ht="15" customHeight="1" x14ac:dyDescent="0.3">
      <c r="B1443" s="135">
        <v>15</v>
      </c>
      <c r="E1443" s="151">
        <v>1</v>
      </c>
      <c r="F1443" s="152" t="s">
        <v>354</v>
      </c>
      <c r="G1443" s="152" t="s">
        <v>833</v>
      </c>
      <c r="H1443" s="153">
        <v>172.33</v>
      </c>
      <c r="I1443" s="153">
        <v>0</v>
      </c>
      <c r="J1443" s="154">
        <f t="shared" si="43"/>
        <v>172.33</v>
      </c>
      <c r="M1443" s="52">
        <v>11202</v>
      </c>
    </row>
    <row r="1444" spans="2:13" ht="15" customHeight="1" x14ac:dyDescent="0.3">
      <c r="B1444" s="135">
        <v>15</v>
      </c>
      <c r="E1444" s="151">
        <v>1</v>
      </c>
      <c r="F1444" s="152" t="s">
        <v>354</v>
      </c>
      <c r="G1444" s="152" t="s">
        <v>833</v>
      </c>
      <c r="H1444" s="153">
        <v>172.33</v>
      </c>
      <c r="I1444" s="153">
        <v>0</v>
      </c>
      <c r="J1444" s="154">
        <f t="shared" ref="J1444:J1447" si="44">H1444-I1444</f>
        <v>172.33</v>
      </c>
      <c r="M1444" s="52">
        <v>11203</v>
      </c>
    </row>
    <row r="1445" spans="2:13" ht="15" customHeight="1" x14ac:dyDescent="0.3">
      <c r="B1445" s="135">
        <v>15</v>
      </c>
      <c r="E1445" s="151">
        <v>1</v>
      </c>
      <c r="F1445" s="152" t="s">
        <v>241</v>
      </c>
      <c r="G1445" s="152" t="s">
        <v>538</v>
      </c>
      <c r="H1445" s="153">
        <v>521.77</v>
      </c>
      <c r="I1445" s="153">
        <v>0</v>
      </c>
      <c r="J1445" s="154">
        <f t="shared" si="44"/>
        <v>521.77</v>
      </c>
      <c r="M1445" s="52">
        <v>11204</v>
      </c>
    </row>
    <row r="1446" spans="2:13" ht="15" customHeight="1" x14ac:dyDescent="0.3">
      <c r="B1446" s="135">
        <v>15</v>
      </c>
      <c r="E1446" s="151">
        <v>1</v>
      </c>
      <c r="F1446" s="152" t="s">
        <v>354</v>
      </c>
      <c r="G1446" s="152" t="s">
        <v>833</v>
      </c>
      <c r="H1446" s="153">
        <v>190.52</v>
      </c>
      <c r="I1446" s="153">
        <v>0</v>
      </c>
      <c r="J1446" s="154">
        <f t="shared" si="44"/>
        <v>190.52</v>
      </c>
      <c r="M1446" s="52">
        <v>11210</v>
      </c>
    </row>
    <row r="1447" spans="2:13" ht="15" customHeight="1" x14ac:dyDescent="0.3">
      <c r="B1447" s="135">
        <v>15</v>
      </c>
      <c r="E1447" s="151">
        <v>1</v>
      </c>
      <c r="F1447" s="152" t="s">
        <v>257</v>
      </c>
      <c r="G1447" s="152" t="s">
        <v>351</v>
      </c>
      <c r="H1447" s="153">
        <v>2105.2199999999998</v>
      </c>
      <c r="I1447" s="153">
        <v>0</v>
      </c>
      <c r="J1447" s="154">
        <f t="shared" si="44"/>
        <v>2105.2199999999998</v>
      </c>
      <c r="M1447" s="52">
        <v>11215</v>
      </c>
    </row>
    <row r="1448" spans="2:13" ht="15" customHeight="1" x14ac:dyDescent="0.3">
      <c r="B1448" s="135">
        <v>15</v>
      </c>
      <c r="E1448" s="151">
        <v>1</v>
      </c>
      <c r="F1448" s="152" t="s">
        <v>700</v>
      </c>
      <c r="G1448" s="152" t="s">
        <v>838</v>
      </c>
      <c r="H1448" s="153">
        <v>126.64</v>
      </c>
      <c r="I1448" s="153">
        <v>0</v>
      </c>
      <c r="J1448" s="154">
        <f>H1448-I1448</f>
        <v>126.64</v>
      </c>
      <c r="M1448" s="52" t="s">
        <v>575</v>
      </c>
    </row>
    <row r="1449" spans="2:13" ht="15" customHeight="1" x14ac:dyDescent="0.3">
      <c r="B1449" s="135">
        <v>15</v>
      </c>
      <c r="E1449" s="151">
        <v>1</v>
      </c>
      <c r="F1449" s="152" t="s">
        <v>700</v>
      </c>
      <c r="G1449" s="152" t="s">
        <v>839</v>
      </c>
      <c r="H1449" s="153">
        <v>13.45</v>
      </c>
      <c r="I1449" s="153">
        <v>0</v>
      </c>
      <c r="J1449" s="154">
        <f t="shared" ref="J1449:J1577" si="45">H1449-I1449</f>
        <v>13.45</v>
      </c>
      <c r="M1449" s="52" t="s">
        <v>575</v>
      </c>
    </row>
    <row r="1450" spans="2:13" ht="15" customHeight="1" x14ac:dyDescent="0.3">
      <c r="B1450" s="135">
        <v>15</v>
      </c>
      <c r="E1450" s="151">
        <v>1</v>
      </c>
      <c r="F1450" s="152" t="s">
        <v>700</v>
      </c>
      <c r="G1450" s="152" t="s">
        <v>701</v>
      </c>
      <c r="H1450" s="153">
        <v>10.47</v>
      </c>
      <c r="I1450" s="153">
        <v>0</v>
      </c>
      <c r="J1450" s="154">
        <f t="shared" si="45"/>
        <v>10.47</v>
      </c>
      <c r="M1450" s="52" t="s">
        <v>575</v>
      </c>
    </row>
    <row r="1451" spans="2:13" ht="15" customHeight="1" x14ac:dyDescent="0.3">
      <c r="B1451" s="135">
        <v>15</v>
      </c>
      <c r="E1451" s="151">
        <v>1</v>
      </c>
      <c r="F1451" s="152" t="s">
        <v>700</v>
      </c>
      <c r="G1451" s="152" t="s">
        <v>636</v>
      </c>
      <c r="H1451" s="153">
        <v>35.51</v>
      </c>
      <c r="I1451" s="153">
        <v>0</v>
      </c>
      <c r="J1451" s="154">
        <f t="shared" si="45"/>
        <v>35.51</v>
      </c>
      <c r="M1451" s="52" t="s">
        <v>575</v>
      </c>
    </row>
    <row r="1452" spans="2:13" ht="15" customHeight="1" x14ac:dyDescent="0.3">
      <c r="B1452" s="135">
        <v>15</v>
      </c>
      <c r="E1452" s="151">
        <v>1</v>
      </c>
      <c r="F1452" s="152" t="s">
        <v>700</v>
      </c>
      <c r="G1452" s="152" t="s">
        <v>636</v>
      </c>
      <c r="H1452" s="153">
        <v>24.9</v>
      </c>
      <c r="I1452" s="153">
        <v>0</v>
      </c>
      <c r="J1452" s="154">
        <f t="shared" si="45"/>
        <v>24.9</v>
      </c>
      <c r="M1452" s="52" t="s">
        <v>575</v>
      </c>
    </row>
    <row r="1453" spans="2:13" ht="15" customHeight="1" x14ac:dyDescent="0.3">
      <c r="B1453" s="135">
        <v>15</v>
      </c>
      <c r="E1453" s="151">
        <v>1</v>
      </c>
      <c r="F1453" s="152" t="s">
        <v>700</v>
      </c>
      <c r="G1453" s="152" t="s">
        <v>840</v>
      </c>
      <c r="H1453" s="153">
        <v>19.68</v>
      </c>
      <c r="I1453" s="153">
        <v>0</v>
      </c>
      <c r="J1453" s="154">
        <f t="shared" si="45"/>
        <v>19.68</v>
      </c>
      <c r="M1453" s="52" t="s">
        <v>575</v>
      </c>
    </row>
    <row r="1454" spans="2:13" ht="15" customHeight="1" x14ac:dyDescent="0.3">
      <c r="B1454" s="135">
        <v>15</v>
      </c>
      <c r="E1454" s="151">
        <v>1</v>
      </c>
      <c r="F1454" s="152" t="s">
        <v>700</v>
      </c>
      <c r="G1454" s="152" t="s">
        <v>646</v>
      </c>
      <c r="H1454" s="153">
        <v>18.34</v>
      </c>
      <c r="I1454" s="153">
        <v>0</v>
      </c>
      <c r="J1454" s="154">
        <f t="shared" si="45"/>
        <v>18.34</v>
      </c>
      <c r="M1454" s="52" t="s">
        <v>575</v>
      </c>
    </row>
    <row r="1455" spans="2:13" ht="15" customHeight="1" x14ac:dyDescent="0.3">
      <c r="B1455" s="135">
        <v>15</v>
      </c>
      <c r="E1455" s="151">
        <v>1</v>
      </c>
      <c r="F1455" s="152" t="s">
        <v>285</v>
      </c>
      <c r="G1455" s="152" t="s">
        <v>261</v>
      </c>
      <c r="H1455" s="153">
        <v>1000</v>
      </c>
      <c r="I1455" s="153">
        <v>0</v>
      </c>
      <c r="J1455" s="154">
        <f t="shared" si="45"/>
        <v>1000</v>
      </c>
      <c r="M1455" s="52" t="s">
        <v>575</v>
      </c>
    </row>
    <row r="1456" spans="2:13" ht="15" customHeight="1" x14ac:dyDescent="0.3">
      <c r="B1456" s="135">
        <v>15</v>
      </c>
      <c r="E1456" s="151">
        <v>1</v>
      </c>
      <c r="F1456" s="152" t="s">
        <v>841</v>
      </c>
      <c r="G1456" s="152" t="s">
        <v>842</v>
      </c>
      <c r="H1456" s="153">
        <v>19.059999999999999</v>
      </c>
      <c r="I1456" s="153">
        <v>0</v>
      </c>
      <c r="J1456" s="154">
        <f t="shared" si="45"/>
        <v>19.059999999999999</v>
      </c>
      <c r="M1456" s="52" t="s">
        <v>575</v>
      </c>
    </row>
    <row r="1457" spans="2:13" ht="15" customHeight="1" x14ac:dyDescent="0.3">
      <c r="B1457" s="135">
        <v>15</v>
      </c>
      <c r="E1457" s="151">
        <v>1</v>
      </c>
      <c r="F1457" s="152" t="s">
        <v>700</v>
      </c>
      <c r="G1457" s="152" t="s">
        <v>704</v>
      </c>
      <c r="H1457" s="153">
        <v>92.95</v>
      </c>
      <c r="I1457" s="153">
        <v>0</v>
      </c>
      <c r="J1457" s="154">
        <f t="shared" si="45"/>
        <v>92.95</v>
      </c>
      <c r="M1457" s="52" t="s">
        <v>575</v>
      </c>
    </row>
    <row r="1458" spans="2:13" ht="15" customHeight="1" x14ac:dyDescent="0.3">
      <c r="B1458" s="135">
        <v>15</v>
      </c>
      <c r="E1458" s="151">
        <v>1</v>
      </c>
      <c r="F1458" s="152" t="s">
        <v>700</v>
      </c>
      <c r="G1458" s="152" t="s">
        <v>734</v>
      </c>
      <c r="H1458" s="153">
        <v>25.48</v>
      </c>
      <c r="I1458" s="153">
        <v>0</v>
      </c>
      <c r="J1458" s="154">
        <f t="shared" si="45"/>
        <v>25.48</v>
      </c>
      <c r="M1458" s="52" t="s">
        <v>575</v>
      </c>
    </row>
    <row r="1459" spans="2:13" ht="15" customHeight="1" x14ac:dyDescent="0.3">
      <c r="B1459" s="135">
        <v>15</v>
      </c>
      <c r="E1459" s="151">
        <v>1</v>
      </c>
      <c r="F1459" s="152" t="s">
        <v>248</v>
      </c>
      <c r="G1459" s="152" t="s">
        <v>286</v>
      </c>
      <c r="H1459" s="153">
        <v>10</v>
      </c>
      <c r="I1459" s="153">
        <v>0</v>
      </c>
      <c r="J1459" s="154">
        <f t="shared" si="45"/>
        <v>10</v>
      </c>
      <c r="M1459" s="52" t="s">
        <v>575</v>
      </c>
    </row>
    <row r="1460" spans="2:13" ht="15" customHeight="1" x14ac:dyDescent="0.3">
      <c r="B1460" s="135">
        <v>15</v>
      </c>
      <c r="E1460" s="151">
        <v>1</v>
      </c>
      <c r="F1460" s="152" t="s">
        <v>843</v>
      </c>
      <c r="G1460" s="152" t="s">
        <v>844</v>
      </c>
      <c r="H1460" s="153">
        <v>325.12</v>
      </c>
      <c r="I1460" s="153">
        <v>0</v>
      </c>
      <c r="J1460" s="154">
        <f t="shared" si="45"/>
        <v>325.12</v>
      </c>
      <c r="M1460" s="52" t="s">
        <v>575</v>
      </c>
    </row>
    <row r="1461" spans="2:13" ht="15" customHeight="1" x14ac:dyDescent="0.3">
      <c r="B1461" s="135">
        <v>15</v>
      </c>
      <c r="E1461" s="151">
        <v>1</v>
      </c>
      <c r="F1461" s="152" t="s">
        <v>639</v>
      </c>
      <c r="G1461" s="152" t="s">
        <v>736</v>
      </c>
      <c r="H1461" s="153">
        <v>2123.79</v>
      </c>
      <c r="I1461" s="153">
        <v>0</v>
      </c>
      <c r="J1461" s="154">
        <f t="shared" si="45"/>
        <v>2123.79</v>
      </c>
      <c r="M1461" s="52" t="s">
        <v>575</v>
      </c>
    </row>
    <row r="1462" spans="2:13" ht="15" customHeight="1" x14ac:dyDescent="0.3">
      <c r="B1462" s="135">
        <v>15</v>
      </c>
      <c r="E1462" s="151">
        <v>1</v>
      </c>
      <c r="F1462" s="152" t="s">
        <v>643</v>
      </c>
      <c r="G1462" s="152" t="s">
        <v>594</v>
      </c>
      <c r="H1462" s="153">
        <v>269.16000000000003</v>
      </c>
      <c r="I1462" s="153">
        <v>0</v>
      </c>
      <c r="J1462" s="154">
        <f t="shared" si="45"/>
        <v>269.16000000000003</v>
      </c>
      <c r="M1462" s="52" t="s">
        <v>575</v>
      </c>
    </row>
    <row r="1463" spans="2:13" ht="15" customHeight="1" x14ac:dyDescent="0.3">
      <c r="B1463" s="135">
        <v>15</v>
      </c>
      <c r="E1463" s="151">
        <v>1</v>
      </c>
      <c r="F1463" s="152" t="s">
        <v>643</v>
      </c>
      <c r="G1463" s="152" t="s">
        <v>649</v>
      </c>
      <c r="H1463" s="153">
        <v>1470.87</v>
      </c>
      <c r="I1463" s="153">
        <v>0</v>
      </c>
      <c r="J1463" s="154">
        <f t="shared" si="45"/>
        <v>1470.87</v>
      </c>
      <c r="M1463" s="52" t="s">
        <v>575</v>
      </c>
    </row>
    <row r="1464" spans="2:13" ht="15" customHeight="1" x14ac:dyDescent="0.3">
      <c r="B1464" s="135">
        <v>15</v>
      </c>
      <c r="E1464" s="151">
        <v>1</v>
      </c>
      <c r="F1464" s="152" t="s">
        <v>697</v>
      </c>
      <c r="G1464" s="152" t="s">
        <v>845</v>
      </c>
      <c r="H1464" s="153">
        <v>10.65</v>
      </c>
      <c r="I1464" s="153">
        <v>0</v>
      </c>
      <c r="J1464" s="154">
        <f t="shared" si="45"/>
        <v>10.65</v>
      </c>
      <c r="M1464" s="52" t="s">
        <v>575</v>
      </c>
    </row>
    <row r="1465" spans="2:13" ht="15" customHeight="1" x14ac:dyDescent="0.3">
      <c r="B1465" s="135">
        <v>15</v>
      </c>
      <c r="E1465" s="151">
        <v>1</v>
      </c>
      <c r="F1465" s="152" t="s">
        <v>697</v>
      </c>
      <c r="G1465" s="152" t="s">
        <v>845</v>
      </c>
      <c r="H1465" s="153">
        <v>10.65</v>
      </c>
      <c r="I1465" s="153">
        <v>0</v>
      </c>
      <c r="J1465" s="154">
        <f t="shared" si="45"/>
        <v>10.65</v>
      </c>
      <c r="M1465" s="52" t="s">
        <v>575</v>
      </c>
    </row>
    <row r="1466" spans="2:13" ht="15" customHeight="1" x14ac:dyDescent="0.3">
      <c r="B1466" s="135">
        <v>15</v>
      </c>
      <c r="E1466" s="151">
        <v>1</v>
      </c>
      <c r="F1466" s="152" t="s">
        <v>697</v>
      </c>
      <c r="G1466" s="152" t="s">
        <v>846</v>
      </c>
      <c r="H1466" s="153">
        <v>179</v>
      </c>
      <c r="I1466" s="153">
        <v>0</v>
      </c>
      <c r="J1466" s="154">
        <f t="shared" si="45"/>
        <v>179</v>
      </c>
      <c r="M1466" s="52" t="s">
        <v>575</v>
      </c>
    </row>
    <row r="1467" spans="2:13" ht="15" customHeight="1" x14ac:dyDescent="0.3">
      <c r="B1467" s="135">
        <v>15</v>
      </c>
      <c r="E1467" s="151">
        <v>1</v>
      </c>
      <c r="F1467" s="152" t="s">
        <v>697</v>
      </c>
      <c r="G1467" s="152" t="s">
        <v>846</v>
      </c>
      <c r="H1467" s="153">
        <v>169</v>
      </c>
      <c r="I1467" s="153">
        <v>0</v>
      </c>
      <c r="J1467" s="154">
        <f t="shared" si="45"/>
        <v>169</v>
      </c>
      <c r="M1467" s="52" t="s">
        <v>575</v>
      </c>
    </row>
    <row r="1468" spans="2:13" ht="15" customHeight="1" x14ac:dyDescent="0.3">
      <c r="B1468" s="135">
        <v>15</v>
      </c>
      <c r="E1468" s="151">
        <v>1</v>
      </c>
      <c r="F1468" s="152" t="s">
        <v>583</v>
      </c>
      <c r="G1468" s="152" t="s">
        <v>584</v>
      </c>
      <c r="H1468" s="153">
        <v>302.35000000000002</v>
      </c>
      <c r="I1468" s="153">
        <v>0</v>
      </c>
      <c r="J1468" s="154">
        <f t="shared" si="45"/>
        <v>302.35000000000002</v>
      </c>
      <c r="M1468" s="52" t="s">
        <v>575</v>
      </c>
    </row>
    <row r="1469" spans="2:13" ht="15" customHeight="1" x14ac:dyDescent="0.3">
      <c r="B1469" s="135">
        <v>15</v>
      </c>
      <c r="E1469" s="151">
        <v>1</v>
      </c>
      <c r="F1469" s="152" t="s">
        <v>583</v>
      </c>
      <c r="G1469" s="152" t="s">
        <v>584</v>
      </c>
      <c r="H1469" s="153">
        <v>1108.25</v>
      </c>
      <c r="I1469" s="153">
        <v>0</v>
      </c>
      <c r="J1469" s="154">
        <f t="shared" si="45"/>
        <v>1108.25</v>
      </c>
      <c r="M1469" s="52" t="s">
        <v>575</v>
      </c>
    </row>
    <row r="1470" spans="2:13" ht="15" customHeight="1" x14ac:dyDescent="0.3">
      <c r="B1470" s="135">
        <v>15</v>
      </c>
      <c r="E1470" s="151">
        <v>1</v>
      </c>
      <c r="F1470" s="152" t="s">
        <v>847</v>
      </c>
      <c r="G1470" s="152" t="s">
        <v>586</v>
      </c>
      <c r="H1470" s="153">
        <v>766.30000000000007</v>
      </c>
      <c r="I1470" s="153">
        <v>0</v>
      </c>
      <c r="J1470" s="154">
        <f t="shared" si="45"/>
        <v>766.30000000000007</v>
      </c>
      <c r="M1470" s="52" t="s">
        <v>535</v>
      </c>
    </row>
    <row r="1471" spans="2:13" ht="15" customHeight="1" x14ac:dyDescent="0.3">
      <c r="B1471" s="135">
        <v>15</v>
      </c>
      <c r="E1471" s="151">
        <v>2</v>
      </c>
      <c r="F1471" s="152" t="s">
        <v>184</v>
      </c>
      <c r="G1471" s="152" t="s">
        <v>445</v>
      </c>
      <c r="H1471" s="153">
        <v>375</v>
      </c>
      <c r="I1471" s="153">
        <v>0</v>
      </c>
      <c r="J1471" s="154">
        <f t="shared" si="45"/>
        <v>375</v>
      </c>
      <c r="M1471" s="52">
        <v>11062</v>
      </c>
    </row>
    <row r="1472" spans="2:13" ht="15" customHeight="1" x14ac:dyDescent="0.3">
      <c r="B1472" s="135">
        <v>15</v>
      </c>
      <c r="E1472" s="151">
        <v>2</v>
      </c>
      <c r="F1472" s="152" t="s">
        <v>848</v>
      </c>
      <c r="G1472" s="152" t="s">
        <v>447</v>
      </c>
      <c r="H1472" s="153">
        <v>902.81</v>
      </c>
      <c r="I1472" s="153">
        <v>0</v>
      </c>
      <c r="J1472" s="154">
        <f t="shared" si="45"/>
        <v>902.81</v>
      </c>
      <c r="M1472" s="52">
        <v>11207</v>
      </c>
    </row>
    <row r="1473" spans="2:13" ht="15" customHeight="1" x14ac:dyDescent="0.3">
      <c r="B1473" s="135">
        <v>15</v>
      </c>
      <c r="E1473" s="151">
        <v>2</v>
      </c>
      <c r="F1473" s="152" t="s">
        <v>849</v>
      </c>
      <c r="G1473" s="152" t="s">
        <v>923</v>
      </c>
      <c r="H1473" s="153">
        <v>3477.4555555555544</v>
      </c>
      <c r="I1473" s="153">
        <v>347.74555555555548</v>
      </c>
      <c r="J1473" s="154">
        <f t="shared" si="45"/>
        <v>3129.7099999999991</v>
      </c>
      <c r="M1473" s="52">
        <v>11222</v>
      </c>
    </row>
    <row r="1474" spans="2:13" ht="15" customHeight="1" x14ac:dyDescent="0.3">
      <c r="B1474" s="135">
        <v>15</v>
      </c>
      <c r="E1474" s="151">
        <v>3</v>
      </c>
      <c r="F1474" s="152" t="s">
        <v>850</v>
      </c>
      <c r="G1474" s="152" t="s">
        <v>836</v>
      </c>
      <c r="H1474" s="153">
        <v>21.01</v>
      </c>
      <c r="I1474" s="153">
        <v>0</v>
      </c>
      <c r="J1474" s="154">
        <f t="shared" si="45"/>
        <v>21.01</v>
      </c>
      <c r="M1474" s="52">
        <v>11045</v>
      </c>
    </row>
    <row r="1475" spans="2:13" ht="15" customHeight="1" x14ac:dyDescent="0.3">
      <c r="B1475" s="135">
        <v>15</v>
      </c>
      <c r="E1475" s="151">
        <v>3</v>
      </c>
      <c r="F1475" s="152" t="s">
        <v>850</v>
      </c>
      <c r="G1475" s="152" t="s">
        <v>851</v>
      </c>
      <c r="H1475" s="153">
        <v>505.35</v>
      </c>
      <c r="I1475" s="153">
        <v>0</v>
      </c>
      <c r="J1475" s="154">
        <f t="shared" si="45"/>
        <v>505.35</v>
      </c>
      <c r="M1475" s="52">
        <v>11071</v>
      </c>
    </row>
    <row r="1476" spans="2:13" ht="15" customHeight="1" x14ac:dyDescent="0.3">
      <c r="B1476" s="135">
        <v>15</v>
      </c>
      <c r="E1476" s="151">
        <v>3</v>
      </c>
      <c r="F1476" s="152" t="s">
        <v>850</v>
      </c>
      <c r="G1476" s="152" t="s">
        <v>852</v>
      </c>
      <c r="H1476" s="153">
        <v>61.31</v>
      </c>
      <c r="I1476" s="153">
        <v>0</v>
      </c>
      <c r="J1476" s="154">
        <f t="shared" si="45"/>
        <v>61.31</v>
      </c>
      <c r="M1476" s="52">
        <v>11072</v>
      </c>
    </row>
    <row r="1477" spans="2:13" ht="15" customHeight="1" x14ac:dyDescent="0.3">
      <c r="B1477" s="135">
        <v>15</v>
      </c>
      <c r="E1477" s="151">
        <v>6</v>
      </c>
      <c r="F1477" s="152" t="s">
        <v>264</v>
      </c>
      <c r="G1477" s="152" t="s">
        <v>464</v>
      </c>
      <c r="H1477" s="153">
        <v>274.74</v>
      </c>
      <c r="I1477" s="153">
        <v>0</v>
      </c>
      <c r="J1477" s="154">
        <f t="shared" si="45"/>
        <v>274.74</v>
      </c>
      <c r="M1477" s="52">
        <v>11100</v>
      </c>
    </row>
    <row r="1478" spans="2:13" ht="15" customHeight="1" x14ac:dyDescent="0.3">
      <c r="B1478" s="135">
        <v>15</v>
      </c>
      <c r="E1478" s="151">
        <v>6</v>
      </c>
      <c r="F1478" s="152" t="s">
        <v>264</v>
      </c>
      <c r="G1478" s="152" t="s">
        <v>853</v>
      </c>
      <c r="H1478" s="153">
        <v>325.56</v>
      </c>
      <c r="I1478" s="153">
        <v>0</v>
      </c>
      <c r="J1478" s="154">
        <f t="shared" si="45"/>
        <v>325.56</v>
      </c>
      <c r="M1478" s="52">
        <v>11104</v>
      </c>
    </row>
    <row r="1479" spans="2:13" ht="15" customHeight="1" x14ac:dyDescent="0.3">
      <c r="B1479" s="135">
        <v>15</v>
      </c>
      <c r="E1479" s="151">
        <v>6</v>
      </c>
      <c r="F1479" s="152" t="s">
        <v>264</v>
      </c>
      <c r="G1479" s="152" t="s">
        <v>854</v>
      </c>
      <c r="H1479" s="153">
        <v>128.37</v>
      </c>
      <c r="I1479" s="153">
        <v>0</v>
      </c>
      <c r="J1479" s="154">
        <f t="shared" si="45"/>
        <v>128.37</v>
      </c>
      <c r="M1479" s="52">
        <v>11105</v>
      </c>
    </row>
    <row r="1480" spans="2:13" ht="15" customHeight="1" x14ac:dyDescent="0.3">
      <c r="B1480" s="135">
        <v>15</v>
      </c>
      <c r="E1480" s="151">
        <v>6</v>
      </c>
      <c r="F1480" s="152" t="s">
        <v>264</v>
      </c>
      <c r="G1480" s="152" t="s">
        <v>855</v>
      </c>
      <c r="H1480" s="153">
        <v>2084.98</v>
      </c>
      <c r="I1480" s="153">
        <v>0</v>
      </c>
      <c r="J1480" s="154">
        <f t="shared" si="45"/>
        <v>2084.98</v>
      </c>
      <c r="M1480" s="52">
        <v>11109</v>
      </c>
    </row>
    <row r="1481" spans="2:13" ht="15" customHeight="1" x14ac:dyDescent="0.3">
      <c r="B1481" s="135">
        <v>15</v>
      </c>
      <c r="E1481" s="151">
        <v>6</v>
      </c>
      <c r="F1481" s="152" t="s">
        <v>264</v>
      </c>
      <c r="G1481" s="152" t="s">
        <v>856</v>
      </c>
      <c r="H1481" s="153">
        <v>869.12</v>
      </c>
      <c r="I1481" s="153">
        <v>0</v>
      </c>
      <c r="J1481" s="154">
        <f t="shared" si="45"/>
        <v>869.12</v>
      </c>
      <c r="M1481" s="52">
        <v>11110</v>
      </c>
    </row>
    <row r="1482" spans="2:13" ht="15" customHeight="1" x14ac:dyDescent="0.3">
      <c r="B1482" s="135">
        <v>15</v>
      </c>
      <c r="E1482" s="151">
        <v>6</v>
      </c>
      <c r="F1482" s="152" t="s">
        <v>264</v>
      </c>
      <c r="G1482" s="152" t="s">
        <v>857</v>
      </c>
      <c r="H1482" s="153">
        <v>100.46</v>
      </c>
      <c r="I1482" s="153">
        <v>0</v>
      </c>
      <c r="J1482" s="154">
        <f t="shared" si="45"/>
        <v>100.46</v>
      </c>
      <c r="M1482" s="52">
        <v>11111</v>
      </c>
    </row>
    <row r="1483" spans="2:13" ht="15" customHeight="1" x14ac:dyDescent="0.3">
      <c r="B1483" s="135">
        <v>15</v>
      </c>
      <c r="E1483" s="151">
        <v>6</v>
      </c>
      <c r="F1483" s="152" t="s">
        <v>264</v>
      </c>
      <c r="G1483" s="152" t="s">
        <v>858</v>
      </c>
      <c r="H1483" s="153">
        <v>211.09</v>
      </c>
      <c r="I1483" s="153">
        <v>0</v>
      </c>
      <c r="J1483" s="154">
        <f t="shared" si="45"/>
        <v>211.09</v>
      </c>
      <c r="M1483" s="52">
        <v>11118</v>
      </c>
    </row>
    <row r="1484" spans="2:13" ht="15" customHeight="1" x14ac:dyDescent="0.3">
      <c r="B1484" s="135">
        <v>15</v>
      </c>
      <c r="E1484" s="151">
        <v>6</v>
      </c>
      <c r="F1484" s="152" t="s">
        <v>657</v>
      </c>
      <c r="G1484" s="152" t="s">
        <v>608</v>
      </c>
      <c r="H1484" s="153">
        <v>7200</v>
      </c>
      <c r="I1484" s="153">
        <v>0</v>
      </c>
      <c r="J1484" s="154">
        <f t="shared" si="45"/>
        <v>7200</v>
      </c>
      <c r="M1484" s="52">
        <v>11137</v>
      </c>
    </row>
    <row r="1485" spans="2:13" ht="15" customHeight="1" x14ac:dyDescent="0.3">
      <c r="B1485" s="135">
        <v>15</v>
      </c>
      <c r="E1485" s="151">
        <v>6</v>
      </c>
      <c r="F1485" s="152" t="s">
        <v>657</v>
      </c>
      <c r="G1485" s="152" t="s">
        <v>608</v>
      </c>
      <c r="H1485" s="153">
        <v>7000</v>
      </c>
      <c r="I1485" s="153">
        <v>0</v>
      </c>
      <c r="J1485" s="154">
        <f t="shared" si="45"/>
        <v>7000</v>
      </c>
      <c r="M1485" s="52">
        <v>11138</v>
      </c>
    </row>
    <row r="1486" spans="2:13" ht="15" customHeight="1" x14ac:dyDescent="0.3">
      <c r="B1486" s="135">
        <v>15</v>
      </c>
      <c r="E1486" s="151">
        <v>6</v>
      </c>
      <c r="F1486" s="152" t="s">
        <v>657</v>
      </c>
      <c r="G1486" s="152" t="s">
        <v>608</v>
      </c>
      <c r="H1486" s="153">
        <v>800</v>
      </c>
      <c r="I1486" s="153">
        <v>0</v>
      </c>
      <c r="J1486" s="154">
        <f t="shared" si="45"/>
        <v>800</v>
      </c>
      <c r="M1486" s="52">
        <v>11157</v>
      </c>
    </row>
    <row r="1487" spans="2:13" ht="15" customHeight="1" x14ac:dyDescent="0.3">
      <c r="B1487" s="135">
        <v>15</v>
      </c>
      <c r="E1487" s="151">
        <v>6</v>
      </c>
      <c r="F1487" s="152" t="s">
        <v>657</v>
      </c>
      <c r="G1487" s="152" t="s">
        <v>608</v>
      </c>
      <c r="H1487" s="153">
        <v>600</v>
      </c>
      <c r="I1487" s="153">
        <v>0</v>
      </c>
      <c r="J1487" s="154">
        <f t="shared" si="45"/>
        <v>600</v>
      </c>
      <c r="M1487" s="52">
        <v>11221</v>
      </c>
    </row>
    <row r="1488" spans="2:13" ht="15" customHeight="1" x14ac:dyDescent="0.3">
      <c r="B1488" s="135">
        <v>15</v>
      </c>
      <c r="E1488" s="151">
        <v>7</v>
      </c>
      <c r="F1488" s="152" t="s">
        <v>859</v>
      </c>
      <c r="G1488" s="152" t="s">
        <v>860</v>
      </c>
      <c r="H1488" s="153">
        <v>5000</v>
      </c>
      <c r="I1488" s="153">
        <v>500</v>
      </c>
      <c r="J1488" s="154">
        <f t="shared" si="45"/>
        <v>4500</v>
      </c>
      <c r="M1488" s="52">
        <v>11139</v>
      </c>
    </row>
    <row r="1489" spans="2:13" ht="15" customHeight="1" x14ac:dyDescent="0.3">
      <c r="B1489" s="135">
        <v>15</v>
      </c>
      <c r="E1489" s="151">
        <v>7</v>
      </c>
      <c r="F1489" s="152" t="s">
        <v>859</v>
      </c>
      <c r="G1489" s="152" t="s">
        <v>860</v>
      </c>
      <c r="H1489" s="153">
        <v>5000</v>
      </c>
      <c r="I1489" s="153">
        <v>500</v>
      </c>
      <c r="J1489" s="154">
        <f t="shared" si="45"/>
        <v>4500</v>
      </c>
      <c r="M1489" s="52">
        <v>11145</v>
      </c>
    </row>
    <row r="1490" spans="2:13" ht="15" customHeight="1" x14ac:dyDescent="0.3">
      <c r="B1490" s="135">
        <v>15</v>
      </c>
      <c r="E1490" s="151">
        <v>7</v>
      </c>
      <c r="F1490" s="152" t="s">
        <v>861</v>
      </c>
      <c r="G1490" s="152" t="s">
        <v>862</v>
      </c>
      <c r="H1490" s="153">
        <v>2302.48</v>
      </c>
      <c r="I1490" s="153">
        <v>0</v>
      </c>
      <c r="J1490" s="154">
        <f t="shared" si="45"/>
        <v>2302.48</v>
      </c>
      <c r="M1490" s="52">
        <v>11150</v>
      </c>
    </row>
    <row r="1491" spans="2:13" ht="15" customHeight="1" x14ac:dyDescent="0.3">
      <c r="B1491" s="135">
        <v>15</v>
      </c>
      <c r="E1491" s="151">
        <v>7</v>
      </c>
      <c r="F1491" s="152" t="s">
        <v>859</v>
      </c>
      <c r="G1491" s="152" t="s">
        <v>860</v>
      </c>
      <c r="H1491" s="153">
        <v>5000</v>
      </c>
      <c r="I1491" s="153">
        <v>500</v>
      </c>
      <c r="J1491" s="154">
        <f t="shared" si="45"/>
        <v>4500</v>
      </c>
      <c r="M1491" s="52">
        <v>11158</v>
      </c>
    </row>
    <row r="1492" spans="2:13" ht="15" customHeight="1" x14ac:dyDescent="0.3">
      <c r="B1492" s="135">
        <v>15</v>
      </c>
      <c r="E1492" s="151">
        <v>7</v>
      </c>
      <c r="F1492" s="152" t="s">
        <v>859</v>
      </c>
      <c r="G1492" s="152" t="s">
        <v>860</v>
      </c>
      <c r="H1492" s="153">
        <v>5000</v>
      </c>
      <c r="I1492" s="153">
        <v>500</v>
      </c>
      <c r="J1492" s="154">
        <f t="shared" si="45"/>
        <v>4500</v>
      </c>
      <c r="M1492" s="52">
        <v>11211</v>
      </c>
    </row>
    <row r="1493" spans="2:13" ht="15" customHeight="1" x14ac:dyDescent="0.3">
      <c r="B1493" s="135">
        <v>15</v>
      </c>
      <c r="E1493" s="151">
        <v>8</v>
      </c>
      <c r="F1493" s="152" t="s">
        <v>863</v>
      </c>
      <c r="G1493" s="152" t="s">
        <v>566</v>
      </c>
      <c r="H1493" s="153">
        <v>7000</v>
      </c>
      <c r="I1493" s="153">
        <v>0</v>
      </c>
      <c r="J1493" s="154">
        <f t="shared" si="45"/>
        <v>7000</v>
      </c>
      <c r="M1493" s="52">
        <v>11098</v>
      </c>
    </row>
    <row r="1494" spans="2:13" ht="15" customHeight="1" x14ac:dyDescent="0.3">
      <c r="B1494" s="135">
        <v>15</v>
      </c>
      <c r="E1494" s="151">
        <v>8</v>
      </c>
      <c r="F1494" s="152" t="s">
        <v>864</v>
      </c>
      <c r="G1494" s="152" t="s">
        <v>865</v>
      </c>
      <c r="H1494" s="153">
        <v>3415.29</v>
      </c>
      <c r="I1494" s="153">
        <v>0</v>
      </c>
      <c r="J1494" s="154">
        <f t="shared" si="45"/>
        <v>3415.29</v>
      </c>
      <c r="M1494" s="52">
        <v>11161</v>
      </c>
    </row>
    <row r="1495" spans="2:13" ht="15" customHeight="1" x14ac:dyDescent="0.3">
      <c r="B1495" s="135">
        <v>15</v>
      </c>
      <c r="E1495" s="151">
        <v>8</v>
      </c>
      <c r="F1495" s="152" t="s">
        <v>864</v>
      </c>
      <c r="G1495" s="152" t="s">
        <v>866</v>
      </c>
      <c r="H1495" s="153">
        <v>231.81</v>
      </c>
      <c r="I1495" s="153">
        <v>0</v>
      </c>
      <c r="J1495" s="154">
        <f t="shared" si="45"/>
        <v>231.81</v>
      </c>
      <c r="M1495" s="52">
        <v>11187</v>
      </c>
    </row>
    <row r="1496" spans="2:13" ht="15" customHeight="1" x14ac:dyDescent="0.3">
      <c r="B1496" s="135">
        <v>15</v>
      </c>
      <c r="E1496" s="151">
        <v>9</v>
      </c>
      <c r="F1496" s="152" t="s">
        <v>772</v>
      </c>
      <c r="G1496" s="152" t="s">
        <v>867</v>
      </c>
      <c r="H1496" s="153">
        <v>427.7</v>
      </c>
      <c r="I1496" s="153">
        <v>0</v>
      </c>
      <c r="J1496" s="154">
        <f t="shared" si="45"/>
        <v>427.7</v>
      </c>
      <c r="M1496" s="52">
        <v>11048</v>
      </c>
    </row>
    <row r="1497" spans="2:13" ht="15" customHeight="1" x14ac:dyDescent="0.3">
      <c r="B1497" s="135">
        <v>15</v>
      </c>
      <c r="E1497" s="151">
        <v>9</v>
      </c>
      <c r="F1497" s="152" t="s">
        <v>772</v>
      </c>
      <c r="G1497" s="152" t="s">
        <v>868</v>
      </c>
      <c r="H1497" s="153">
        <v>37.61</v>
      </c>
      <c r="I1497" s="153">
        <v>0</v>
      </c>
      <c r="J1497" s="154">
        <f t="shared" si="45"/>
        <v>37.61</v>
      </c>
      <c r="M1497" s="52">
        <v>11064</v>
      </c>
    </row>
    <row r="1498" spans="2:13" ht="15" customHeight="1" x14ac:dyDescent="0.3">
      <c r="B1498" s="135">
        <v>15</v>
      </c>
      <c r="E1498" s="151">
        <v>9</v>
      </c>
      <c r="F1498" s="152" t="s">
        <v>772</v>
      </c>
      <c r="G1498" s="152" t="s">
        <v>869</v>
      </c>
      <c r="H1498" s="153">
        <v>384.42</v>
      </c>
      <c r="I1498" s="153">
        <v>0</v>
      </c>
      <c r="J1498" s="154">
        <f t="shared" si="45"/>
        <v>384.42</v>
      </c>
      <c r="M1498" s="52">
        <v>11065</v>
      </c>
    </row>
    <row r="1499" spans="2:13" ht="15" customHeight="1" x14ac:dyDescent="0.3">
      <c r="B1499" s="135">
        <v>15</v>
      </c>
      <c r="E1499" s="151">
        <v>9</v>
      </c>
      <c r="F1499" s="152" t="s">
        <v>772</v>
      </c>
      <c r="G1499" s="152" t="s">
        <v>870</v>
      </c>
      <c r="H1499" s="153">
        <v>292.08999999999997</v>
      </c>
      <c r="I1499" s="153">
        <v>0</v>
      </c>
      <c r="J1499" s="154">
        <f t="shared" si="45"/>
        <v>292.08999999999997</v>
      </c>
      <c r="M1499" s="52">
        <v>11067</v>
      </c>
    </row>
    <row r="1500" spans="2:13" ht="15" customHeight="1" x14ac:dyDescent="0.3">
      <c r="B1500" s="135">
        <v>15</v>
      </c>
      <c r="E1500" s="151">
        <v>9</v>
      </c>
      <c r="F1500" s="152" t="s">
        <v>676</v>
      </c>
      <c r="G1500" s="152" t="s">
        <v>871</v>
      </c>
      <c r="H1500" s="153">
        <v>75.180000000000007</v>
      </c>
      <c r="I1500" s="153">
        <v>0</v>
      </c>
      <c r="J1500" s="154">
        <f t="shared" si="45"/>
        <v>75.180000000000007</v>
      </c>
      <c r="M1500" s="52">
        <v>11069</v>
      </c>
    </row>
    <row r="1501" spans="2:13" ht="15" customHeight="1" x14ac:dyDescent="0.3">
      <c r="B1501" s="135">
        <v>15</v>
      </c>
      <c r="E1501" s="151">
        <v>9</v>
      </c>
      <c r="F1501" s="152" t="s">
        <v>772</v>
      </c>
      <c r="G1501" s="152" t="s">
        <v>872</v>
      </c>
      <c r="H1501" s="153">
        <v>236.89</v>
      </c>
      <c r="I1501" s="153">
        <v>0</v>
      </c>
      <c r="J1501" s="154">
        <f t="shared" si="45"/>
        <v>236.89</v>
      </c>
      <c r="M1501" s="52">
        <v>11075</v>
      </c>
    </row>
    <row r="1502" spans="2:13" ht="15" customHeight="1" x14ac:dyDescent="0.3">
      <c r="B1502" s="135">
        <v>15</v>
      </c>
      <c r="E1502" s="151">
        <v>9</v>
      </c>
      <c r="F1502" s="152" t="s">
        <v>772</v>
      </c>
      <c r="G1502" s="152" t="s">
        <v>867</v>
      </c>
      <c r="H1502" s="153">
        <v>213.85</v>
      </c>
      <c r="I1502" s="153">
        <v>0</v>
      </c>
      <c r="J1502" s="154">
        <f t="shared" si="45"/>
        <v>213.85</v>
      </c>
      <c r="M1502" s="52">
        <v>11092</v>
      </c>
    </row>
    <row r="1503" spans="2:13" ht="15" customHeight="1" x14ac:dyDescent="0.3">
      <c r="B1503" s="135">
        <v>15</v>
      </c>
      <c r="E1503" s="151">
        <v>9</v>
      </c>
      <c r="F1503" s="152" t="s">
        <v>772</v>
      </c>
      <c r="G1503" s="152" t="s">
        <v>873</v>
      </c>
      <c r="H1503" s="153">
        <v>57.74</v>
      </c>
      <c r="I1503" s="153">
        <v>0</v>
      </c>
      <c r="J1503" s="154">
        <f t="shared" si="45"/>
        <v>57.74</v>
      </c>
      <c r="M1503" s="52">
        <v>11094</v>
      </c>
    </row>
    <row r="1504" spans="2:13" ht="15" customHeight="1" x14ac:dyDescent="0.3">
      <c r="B1504" s="135">
        <v>15</v>
      </c>
      <c r="E1504" s="151">
        <v>9</v>
      </c>
      <c r="F1504" s="152" t="s">
        <v>874</v>
      </c>
      <c r="G1504" s="152" t="s">
        <v>875</v>
      </c>
      <c r="H1504" s="153">
        <v>926.64</v>
      </c>
      <c r="I1504" s="153">
        <v>0</v>
      </c>
      <c r="J1504" s="154">
        <f t="shared" si="45"/>
        <v>926.64</v>
      </c>
      <c r="M1504" s="52">
        <v>11099</v>
      </c>
    </row>
    <row r="1505" spans="2:13" ht="15" customHeight="1" x14ac:dyDescent="0.3">
      <c r="B1505" s="135">
        <v>15</v>
      </c>
      <c r="E1505" s="151">
        <v>9</v>
      </c>
      <c r="F1505" s="152" t="s">
        <v>874</v>
      </c>
      <c r="G1505" s="152" t="s">
        <v>876</v>
      </c>
      <c r="H1505" s="153">
        <v>1338.19</v>
      </c>
      <c r="I1505" s="153">
        <v>0</v>
      </c>
      <c r="J1505" s="154">
        <f t="shared" si="45"/>
        <v>1338.19</v>
      </c>
      <c r="M1505" s="52">
        <v>11102</v>
      </c>
    </row>
    <row r="1506" spans="2:13" ht="15" customHeight="1" x14ac:dyDescent="0.3">
      <c r="B1506" s="135">
        <v>15</v>
      </c>
      <c r="E1506" s="151">
        <v>9</v>
      </c>
      <c r="F1506" s="152" t="s">
        <v>874</v>
      </c>
      <c r="G1506" s="152" t="s">
        <v>876</v>
      </c>
      <c r="H1506" s="153">
        <v>1147.02</v>
      </c>
      <c r="I1506" s="153">
        <v>0</v>
      </c>
      <c r="J1506" s="154">
        <f t="shared" si="45"/>
        <v>1147.02</v>
      </c>
      <c r="M1506" s="52">
        <v>11103</v>
      </c>
    </row>
    <row r="1507" spans="2:13" ht="15" customHeight="1" x14ac:dyDescent="0.3">
      <c r="B1507" s="135">
        <v>15</v>
      </c>
      <c r="E1507" s="151">
        <v>9</v>
      </c>
      <c r="F1507" s="152" t="s">
        <v>676</v>
      </c>
      <c r="G1507" s="152" t="s">
        <v>877</v>
      </c>
      <c r="H1507" s="153">
        <v>1181.83</v>
      </c>
      <c r="I1507" s="153">
        <v>0</v>
      </c>
      <c r="J1507" s="154">
        <f t="shared" si="45"/>
        <v>1181.83</v>
      </c>
      <c r="M1507" s="52">
        <v>11114</v>
      </c>
    </row>
    <row r="1508" spans="2:13" ht="15" customHeight="1" x14ac:dyDescent="0.3">
      <c r="B1508" s="135">
        <v>15</v>
      </c>
      <c r="E1508" s="151">
        <v>9</v>
      </c>
      <c r="F1508" s="152" t="s">
        <v>874</v>
      </c>
      <c r="G1508" s="152" t="s">
        <v>876</v>
      </c>
      <c r="H1508" s="153">
        <v>955.85</v>
      </c>
      <c r="I1508" s="153">
        <v>0</v>
      </c>
      <c r="J1508" s="154">
        <f t="shared" si="45"/>
        <v>955.85</v>
      </c>
      <c r="M1508" s="52">
        <v>11120</v>
      </c>
    </row>
    <row r="1509" spans="2:13" ht="15" customHeight="1" x14ac:dyDescent="0.3">
      <c r="B1509" s="135">
        <v>15</v>
      </c>
      <c r="E1509" s="151">
        <v>9</v>
      </c>
      <c r="F1509" s="152" t="s">
        <v>779</v>
      </c>
      <c r="G1509" s="152" t="s">
        <v>821</v>
      </c>
      <c r="H1509" s="153">
        <v>35000</v>
      </c>
      <c r="I1509" s="153">
        <v>0</v>
      </c>
      <c r="J1509" s="154">
        <f t="shared" si="45"/>
        <v>35000</v>
      </c>
      <c r="M1509" s="52">
        <v>11140</v>
      </c>
    </row>
    <row r="1510" spans="2:13" ht="15" customHeight="1" x14ac:dyDescent="0.3">
      <c r="B1510" s="135">
        <v>15</v>
      </c>
      <c r="E1510" s="151">
        <v>9</v>
      </c>
      <c r="F1510" s="152" t="s">
        <v>676</v>
      </c>
      <c r="G1510" s="152" t="s">
        <v>878</v>
      </c>
      <c r="H1510" s="153">
        <v>173.71</v>
      </c>
      <c r="I1510" s="153">
        <v>0</v>
      </c>
      <c r="J1510" s="154">
        <f t="shared" si="45"/>
        <v>173.71</v>
      </c>
      <c r="M1510" s="52">
        <v>11168</v>
      </c>
    </row>
    <row r="1511" spans="2:13" ht="15" customHeight="1" x14ac:dyDescent="0.3">
      <c r="B1511" s="135">
        <v>15</v>
      </c>
      <c r="E1511" s="151">
        <v>9</v>
      </c>
      <c r="F1511" s="152" t="s">
        <v>874</v>
      </c>
      <c r="G1511" s="152" t="s">
        <v>879</v>
      </c>
      <c r="H1511" s="153">
        <v>260.79000000000002</v>
      </c>
      <c r="I1511" s="153">
        <v>0</v>
      </c>
      <c r="J1511" s="154">
        <f t="shared" si="45"/>
        <v>260.79000000000002</v>
      </c>
      <c r="M1511" s="52">
        <v>11174</v>
      </c>
    </row>
    <row r="1512" spans="2:13" ht="15" customHeight="1" x14ac:dyDescent="0.3">
      <c r="B1512" s="135">
        <v>15</v>
      </c>
      <c r="E1512" s="151">
        <v>9</v>
      </c>
      <c r="F1512" s="152" t="s">
        <v>676</v>
      </c>
      <c r="G1512" s="152" t="s">
        <v>880</v>
      </c>
      <c r="H1512" s="153">
        <v>220.55</v>
      </c>
      <c r="I1512" s="153">
        <v>0</v>
      </c>
      <c r="J1512" s="154">
        <f t="shared" si="45"/>
        <v>220.55</v>
      </c>
      <c r="M1512" s="52">
        <v>11188</v>
      </c>
    </row>
    <row r="1513" spans="2:13" ht="15" customHeight="1" x14ac:dyDescent="0.3">
      <c r="B1513" s="135">
        <v>15</v>
      </c>
      <c r="E1513" s="151">
        <v>9</v>
      </c>
      <c r="F1513" s="152" t="s">
        <v>806</v>
      </c>
      <c r="G1513" s="152" t="s">
        <v>881</v>
      </c>
      <c r="H1513" s="153">
        <v>19000</v>
      </c>
      <c r="I1513" s="153">
        <v>1900</v>
      </c>
      <c r="J1513" s="154">
        <f t="shared" si="45"/>
        <v>17100</v>
      </c>
      <c r="M1513" s="52">
        <v>11155</v>
      </c>
    </row>
    <row r="1514" spans="2:13" ht="15" customHeight="1" x14ac:dyDescent="0.3">
      <c r="B1514" s="135">
        <v>15</v>
      </c>
      <c r="E1514" s="151">
        <v>9</v>
      </c>
      <c r="F1514" s="152" t="s">
        <v>882</v>
      </c>
      <c r="G1514" s="152" t="s">
        <v>881</v>
      </c>
      <c r="H1514" s="153">
        <v>12000</v>
      </c>
      <c r="I1514" s="153">
        <v>1200</v>
      </c>
      <c r="J1514" s="154">
        <f t="shared" si="45"/>
        <v>10800</v>
      </c>
      <c r="M1514" s="52">
        <v>11155</v>
      </c>
    </row>
    <row r="1515" spans="2:13" ht="15" customHeight="1" x14ac:dyDescent="0.3">
      <c r="B1515" s="135">
        <v>15</v>
      </c>
      <c r="E1515" s="151">
        <v>9</v>
      </c>
      <c r="F1515" s="152" t="s">
        <v>883</v>
      </c>
      <c r="G1515" s="152" t="s">
        <v>881</v>
      </c>
      <c r="H1515" s="153">
        <v>13000</v>
      </c>
      <c r="I1515" s="153">
        <v>1300</v>
      </c>
      <c r="J1515" s="154">
        <f t="shared" si="45"/>
        <v>11700</v>
      </c>
      <c r="M1515" s="52">
        <v>11155</v>
      </c>
    </row>
    <row r="1516" spans="2:13" ht="15" customHeight="1" x14ac:dyDescent="0.3">
      <c r="B1516" s="135">
        <v>15</v>
      </c>
      <c r="E1516" s="151">
        <v>9</v>
      </c>
      <c r="F1516" s="152" t="s">
        <v>822</v>
      </c>
      <c r="G1516" s="152" t="s">
        <v>881</v>
      </c>
      <c r="H1516" s="153">
        <v>35194.44</v>
      </c>
      <c r="I1516" s="153">
        <v>3519.44</v>
      </c>
      <c r="J1516" s="154">
        <f t="shared" si="45"/>
        <v>31675.000000000004</v>
      </c>
      <c r="M1516" s="52">
        <v>11155</v>
      </c>
    </row>
    <row r="1517" spans="2:13" ht="15" customHeight="1" x14ac:dyDescent="0.3">
      <c r="B1517" s="135">
        <v>15</v>
      </c>
      <c r="E1517" s="151">
        <v>10</v>
      </c>
      <c r="F1517" s="152" t="s">
        <v>884</v>
      </c>
      <c r="G1517" s="152" t="s">
        <v>885</v>
      </c>
      <c r="H1517" s="153">
        <v>400.31</v>
      </c>
      <c r="I1517" s="153">
        <v>0</v>
      </c>
      <c r="J1517" s="154">
        <f t="shared" si="45"/>
        <v>400.31</v>
      </c>
      <c r="M1517" s="52">
        <v>11068</v>
      </c>
    </row>
    <row r="1518" spans="2:13" ht="15" customHeight="1" x14ac:dyDescent="0.3">
      <c r="B1518" s="135">
        <v>15</v>
      </c>
      <c r="E1518" s="151">
        <v>10</v>
      </c>
      <c r="F1518" s="152" t="s">
        <v>884</v>
      </c>
      <c r="G1518" s="152" t="s">
        <v>886</v>
      </c>
      <c r="H1518" s="153">
        <v>1154.25</v>
      </c>
      <c r="I1518" s="153">
        <v>0</v>
      </c>
      <c r="J1518" s="154">
        <f t="shared" si="45"/>
        <v>1154.25</v>
      </c>
      <c r="M1518" s="52">
        <v>11090</v>
      </c>
    </row>
    <row r="1519" spans="2:13" ht="15" customHeight="1" x14ac:dyDescent="0.3">
      <c r="B1519" s="135">
        <v>15</v>
      </c>
      <c r="E1519" s="151">
        <v>10</v>
      </c>
      <c r="F1519" s="152" t="s">
        <v>884</v>
      </c>
      <c r="G1519" s="152" t="s">
        <v>887</v>
      </c>
      <c r="H1519" s="153">
        <v>877.11</v>
      </c>
      <c r="I1519" s="153">
        <v>0</v>
      </c>
      <c r="J1519" s="154">
        <f t="shared" si="45"/>
        <v>877.11</v>
      </c>
      <c r="M1519" s="52">
        <v>11091</v>
      </c>
    </row>
    <row r="1520" spans="2:13" ht="15" customHeight="1" x14ac:dyDescent="0.3">
      <c r="B1520" s="135">
        <v>15</v>
      </c>
      <c r="E1520" s="151">
        <v>10</v>
      </c>
      <c r="F1520" s="152" t="s">
        <v>884</v>
      </c>
      <c r="G1520" s="152" t="s">
        <v>888</v>
      </c>
      <c r="H1520" s="153">
        <v>68.75</v>
      </c>
      <c r="I1520" s="153">
        <v>0</v>
      </c>
      <c r="J1520" s="154">
        <f t="shared" si="45"/>
        <v>68.75</v>
      </c>
      <c r="M1520" s="52">
        <v>11093</v>
      </c>
    </row>
    <row r="1521" spans="2:13" ht="15" customHeight="1" x14ac:dyDescent="0.3">
      <c r="B1521" s="135">
        <v>15</v>
      </c>
      <c r="E1521" s="151">
        <v>10</v>
      </c>
      <c r="F1521" s="152" t="s">
        <v>884</v>
      </c>
      <c r="G1521" s="152" t="s">
        <v>889</v>
      </c>
      <c r="H1521" s="153">
        <v>232.28</v>
      </c>
      <c r="I1521" s="153">
        <v>0</v>
      </c>
      <c r="J1521" s="154">
        <f t="shared" si="45"/>
        <v>232.28</v>
      </c>
      <c r="M1521" s="52">
        <v>11095</v>
      </c>
    </row>
    <row r="1522" spans="2:13" ht="15" customHeight="1" x14ac:dyDescent="0.3">
      <c r="B1522" s="135">
        <v>15</v>
      </c>
      <c r="E1522" s="151">
        <v>10</v>
      </c>
      <c r="F1522" s="152" t="s">
        <v>884</v>
      </c>
      <c r="G1522" s="152" t="s">
        <v>890</v>
      </c>
      <c r="H1522" s="153">
        <v>145.32</v>
      </c>
      <c r="I1522" s="153">
        <v>0</v>
      </c>
      <c r="J1522" s="154">
        <f t="shared" si="45"/>
        <v>145.32</v>
      </c>
      <c r="M1522" s="52">
        <v>11101</v>
      </c>
    </row>
    <row r="1523" spans="2:13" ht="15" customHeight="1" x14ac:dyDescent="0.3">
      <c r="B1523" s="135">
        <v>15</v>
      </c>
      <c r="E1523" s="151">
        <v>10</v>
      </c>
      <c r="F1523" s="152" t="s">
        <v>884</v>
      </c>
      <c r="G1523" s="152" t="s">
        <v>886</v>
      </c>
      <c r="H1523" s="153">
        <v>378.49</v>
      </c>
      <c r="I1523" s="153">
        <v>0</v>
      </c>
      <c r="J1523" s="154">
        <f t="shared" si="45"/>
        <v>378.49</v>
      </c>
      <c r="M1523" s="52">
        <v>11107</v>
      </c>
    </row>
    <row r="1524" spans="2:13" ht="15" customHeight="1" x14ac:dyDescent="0.3">
      <c r="B1524" s="135">
        <v>15</v>
      </c>
      <c r="E1524" s="151">
        <v>10</v>
      </c>
      <c r="F1524" s="152" t="s">
        <v>884</v>
      </c>
      <c r="G1524" s="152" t="s">
        <v>891</v>
      </c>
      <c r="H1524" s="153">
        <v>772.91</v>
      </c>
      <c r="I1524" s="153">
        <v>0</v>
      </c>
      <c r="J1524" s="154">
        <f t="shared" si="45"/>
        <v>772.91</v>
      </c>
      <c r="M1524" s="52">
        <v>11108</v>
      </c>
    </row>
    <row r="1525" spans="2:13" ht="15" customHeight="1" x14ac:dyDescent="0.3">
      <c r="B1525" s="135">
        <v>15</v>
      </c>
      <c r="E1525" s="151">
        <v>10</v>
      </c>
      <c r="F1525" s="152" t="s">
        <v>884</v>
      </c>
      <c r="G1525" s="152" t="s">
        <v>892</v>
      </c>
      <c r="H1525" s="153">
        <v>36.58</v>
      </c>
      <c r="I1525" s="153">
        <v>0</v>
      </c>
      <c r="J1525" s="154">
        <f t="shared" si="45"/>
        <v>36.58</v>
      </c>
      <c r="M1525" s="52">
        <v>11112</v>
      </c>
    </row>
    <row r="1526" spans="2:13" ht="15" customHeight="1" x14ac:dyDescent="0.3">
      <c r="B1526" s="135">
        <v>15</v>
      </c>
      <c r="E1526" s="151">
        <v>10</v>
      </c>
      <c r="F1526" s="152" t="s">
        <v>884</v>
      </c>
      <c r="G1526" s="152" t="s">
        <v>893</v>
      </c>
      <c r="H1526" s="153">
        <v>162.04</v>
      </c>
      <c r="I1526" s="153">
        <v>0</v>
      </c>
      <c r="J1526" s="154">
        <f t="shared" si="45"/>
        <v>162.04</v>
      </c>
      <c r="M1526" s="52">
        <v>11134</v>
      </c>
    </row>
    <row r="1527" spans="2:13" ht="15" customHeight="1" x14ac:dyDescent="0.3">
      <c r="B1527" s="135">
        <v>15</v>
      </c>
      <c r="E1527" s="151">
        <v>10</v>
      </c>
      <c r="F1527" s="152" t="s">
        <v>884</v>
      </c>
      <c r="G1527" s="152" t="s">
        <v>894</v>
      </c>
      <c r="H1527" s="153">
        <v>190.53</v>
      </c>
      <c r="I1527" s="153">
        <v>0</v>
      </c>
      <c r="J1527" s="154">
        <f t="shared" si="45"/>
        <v>190.53</v>
      </c>
      <c r="M1527" s="52">
        <v>11135</v>
      </c>
    </row>
    <row r="1528" spans="2:13" ht="15" customHeight="1" x14ac:dyDescent="0.3">
      <c r="B1528" s="135">
        <v>15</v>
      </c>
      <c r="E1528" s="151">
        <v>10</v>
      </c>
      <c r="F1528" s="152" t="s">
        <v>884</v>
      </c>
      <c r="G1528" s="152" t="s">
        <v>891</v>
      </c>
      <c r="H1528" s="153">
        <v>449.24</v>
      </c>
      <c r="I1528" s="153">
        <v>0</v>
      </c>
      <c r="J1528" s="154">
        <f t="shared" si="45"/>
        <v>449.24</v>
      </c>
      <c r="M1528" s="52">
        <v>11149</v>
      </c>
    </row>
    <row r="1529" spans="2:13" ht="15" customHeight="1" x14ac:dyDescent="0.3">
      <c r="B1529" s="135">
        <v>15</v>
      </c>
      <c r="E1529" s="151">
        <v>10</v>
      </c>
      <c r="F1529" s="152" t="s">
        <v>884</v>
      </c>
      <c r="G1529" s="152" t="s">
        <v>891</v>
      </c>
      <c r="H1529" s="153">
        <v>449.24</v>
      </c>
      <c r="I1529" s="153">
        <v>0</v>
      </c>
      <c r="J1529" s="154">
        <f t="shared" si="45"/>
        <v>449.24</v>
      </c>
      <c r="M1529" s="52">
        <v>11167</v>
      </c>
    </row>
    <row r="1530" spans="2:13" ht="15" customHeight="1" x14ac:dyDescent="0.3">
      <c r="B1530" s="135">
        <v>15</v>
      </c>
      <c r="E1530" s="151">
        <v>10</v>
      </c>
      <c r="F1530" s="152" t="s">
        <v>884</v>
      </c>
      <c r="G1530" s="152" t="s">
        <v>895</v>
      </c>
      <c r="H1530" s="153">
        <v>132.19</v>
      </c>
      <c r="I1530" s="153">
        <v>0</v>
      </c>
      <c r="J1530" s="154">
        <f t="shared" si="45"/>
        <v>132.19</v>
      </c>
      <c r="M1530" s="52">
        <v>11169</v>
      </c>
    </row>
    <row r="1531" spans="2:13" ht="15" customHeight="1" x14ac:dyDescent="0.3">
      <c r="B1531" s="135">
        <v>15</v>
      </c>
      <c r="E1531" s="151">
        <v>10</v>
      </c>
      <c r="F1531" s="152" t="s">
        <v>884</v>
      </c>
      <c r="G1531" s="152" t="s">
        <v>896</v>
      </c>
      <c r="H1531" s="153">
        <v>71.63</v>
      </c>
      <c r="I1531" s="153">
        <v>0</v>
      </c>
      <c r="J1531" s="154">
        <f t="shared" si="45"/>
        <v>71.63</v>
      </c>
      <c r="M1531" s="52">
        <v>11192</v>
      </c>
    </row>
    <row r="1532" spans="2:13" ht="15" customHeight="1" x14ac:dyDescent="0.3">
      <c r="B1532" s="135">
        <v>15</v>
      </c>
      <c r="E1532" s="151">
        <v>11</v>
      </c>
      <c r="F1532" s="152" t="s">
        <v>897</v>
      </c>
      <c r="G1532" s="152" t="s">
        <v>898</v>
      </c>
      <c r="H1532" s="153">
        <v>104.35</v>
      </c>
      <c r="I1532" s="153">
        <v>0</v>
      </c>
      <c r="J1532" s="154">
        <f t="shared" si="45"/>
        <v>104.35</v>
      </c>
      <c r="M1532" s="52">
        <v>11044</v>
      </c>
    </row>
    <row r="1533" spans="2:13" ht="15" customHeight="1" x14ac:dyDescent="0.3">
      <c r="B1533" s="135">
        <v>15</v>
      </c>
      <c r="E1533" s="151">
        <v>11</v>
      </c>
      <c r="F1533" s="152" t="s">
        <v>897</v>
      </c>
      <c r="G1533" s="152" t="s">
        <v>899</v>
      </c>
      <c r="H1533" s="153">
        <v>66.64</v>
      </c>
      <c r="I1533" s="153">
        <v>0</v>
      </c>
      <c r="J1533" s="154">
        <f t="shared" si="45"/>
        <v>66.64</v>
      </c>
      <c r="M1533" s="52">
        <v>11046</v>
      </c>
    </row>
    <row r="1534" spans="2:13" ht="15" customHeight="1" x14ac:dyDescent="0.3">
      <c r="B1534" s="135">
        <v>15</v>
      </c>
      <c r="E1534" s="151">
        <v>11</v>
      </c>
      <c r="F1534" s="152" t="s">
        <v>897</v>
      </c>
      <c r="G1534" s="152" t="s">
        <v>898</v>
      </c>
      <c r="H1534" s="153">
        <v>269.52</v>
      </c>
      <c r="I1534" s="153">
        <v>0</v>
      </c>
      <c r="J1534" s="154">
        <f t="shared" si="45"/>
        <v>269.52</v>
      </c>
      <c r="M1534" s="52">
        <v>11047</v>
      </c>
    </row>
    <row r="1535" spans="2:13" ht="15" customHeight="1" x14ac:dyDescent="0.3">
      <c r="B1535" s="135">
        <v>15</v>
      </c>
      <c r="E1535" s="151">
        <v>11</v>
      </c>
      <c r="F1535" s="152" t="s">
        <v>897</v>
      </c>
      <c r="G1535" s="152" t="s">
        <v>900</v>
      </c>
      <c r="H1535" s="153">
        <v>31.2</v>
      </c>
      <c r="I1535" s="153">
        <v>0</v>
      </c>
      <c r="J1535" s="154">
        <f t="shared" si="45"/>
        <v>31.2</v>
      </c>
      <c r="M1535" s="52">
        <v>11116</v>
      </c>
    </row>
    <row r="1536" spans="2:13" ht="15" customHeight="1" x14ac:dyDescent="0.3">
      <c r="B1536" s="135">
        <v>15</v>
      </c>
      <c r="E1536" s="151">
        <v>11</v>
      </c>
      <c r="F1536" s="152" t="s">
        <v>897</v>
      </c>
      <c r="G1536" s="152" t="s">
        <v>901</v>
      </c>
      <c r="H1536" s="153">
        <v>328.12</v>
      </c>
      <c r="I1536" s="153">
        <v>0</v>
      </c>
      <c r="J1536" s="154">
        <f t="shared" si="45"/>
        <v>328.12</v>
      </c>
      <c r="M1536" s="52">
        <v>11117</v>
      </c>
    </row>
    <row r="1537" spans="2:13" ht="15" customHeight="1" x14ac:dyDescent="0.3">
      <c r="B1537" s="135">
        <v>15</v>
      </c>
      <c r="E1537" s="151">
        <v>11</v>
      </c>
      <c r="F1537" s="152" t="s">
        <v>792</v>
      </c>
      <c r="G1537" s="152" t="s">
        <v>793</v>
      </c>
      <c r="H1537" s="153">
        <v>1187.5</v>
      </c>
      <c r="I1537" s="153">
        <v>0</v>
      </c>
      <c r="J1537" s="154">
        <f t="shared" si="45"/>
        <v>1187.5</v>
      </c>
      <c r="M1537" s="52">
        <v>11121</v>
      </c>
    </row>
    <row r="1538" spans="2:13" ht="15" customHeight="1" x14ac:dyDescent="0.3">
      <c r="B1538" s="135">
        <v>15</v>
      </c>
      <c r="E1538" s="151">
        <v>11</v>
      </c>
      <c r="F1538" s="152" t="s">
        <v>792</v>
      </c>
      <c r="G1538" s="152" t="s">
        <v>793</v>
      </c>
      <c r="H1538" s="153">
        <v>1068.75</v>
      </c>
      <c r="I1538" s="153">
        <v>0</v>
      </c>
      <c r="J1538" s="154">
        <f t="shared" si="45"/>
        <v>1068.75</v>
      </c>
      <c r="M1538" s="52">
        <v>11122</v>
      </c>
    </row>
    <row r="1539" spans="2:13" ht="15" customHeight="1" x14ac:dyDescent="0.3">
      <c r="B1539" s="135">
        <v>15</v>
      </c>
      <c r="E1539" s="151">
        <v>11</v>
      </c>
      <c r="F1539" s="152" t="s">
        <v>792</v>
      </c>
      <c r="G1539" s="152" t="s">
        <v>793</v>
      </c>
      <c r="H1539" s="153">
        <v>1235</v>
      </c>
      <c r="I1539" s="153">
        <v>0</v>
      </c>
      <c r="J1539" s="154">
        <f t="shared" si="45"/>
        <v>1235</v>
      </c>
      <c r="M1539" s="52">
        <v>11123</v>
      </c>
    </row>
    <row r="1540" spans="2:13" ht="15" customHeight="1" x14ac:dyDescent="0.3">
      <c r="B1540" s="135">
        <v>15</v>
      </c>
      <c r="E1540" s="151">
        <v>11</v>
      </c>
      <c r="F1540" s="152" t="s">
        <v>792</v>
      </c>
      <c r="G1540" s="152" t="s">
        <v>793</v>
      </c>
      <c r="H1540" s="153">
        <v>1068.75</v>
      </c>
      <c r="I1540" s="153">
        <v>0</v>
      </c>
      <c r="J1540" s="154">
        <f t="shared" si="45"/>
        <v>1068.75</v>
      </c>
      <c r="M1540" s="52">
        <v>11124</v>
      </c>
    </row>
    <row r="1541" spans="2:13" ht="15" customHeight="1" x14ac:dyDescent="0.3">
      <c r="B1541" s="135">
        <v>15</v>
      </c>
      <c r="E1541" s="151">
        <v>11</v>
      </c>
      <c r="F1541" s="152" t="s">
        <v>792</v>
      </c>
      <c r="G1541" s="152" t="s">
        <v>793</v>
      </c>
      <c r="H1541" s="153">
        <v>1187.5</v>
      </c>
      <c r="I1541" s="153">
        <v>0</v>
      </c>
      <c r="J1541" s="154">
        <f t="shared" si="45"/>
        <v>1187.5</v>
      </c>
      <c r="M1541" s="52">
        <v>11125</v>
      </c>
    </row>
    <row r="1542" spans="2:13" ht="15" customHeight="1" x14ac:dyDescent="0.3">
      <c r="B1542" s="135">
        <v>15</v>
      </c>
      <c r="E1542" s="151">
        <v>11</v>
      </c>
      <c r="F1542" s="152" t="s">
        <v>792</v>
      </c>
      <c r="G1542" s="152" t="s">
        <v>793</v>
      </c>
      <c r="H1542" s="153">
        <v>690</v>
      </c>
      <c r="I1542" s="153">
        <v>0</v>
      </c>
      <c r="J1542" s="154">
        <f t="shared" si="45"/>
        <v>690</v>
      </c>
      <c r="M1542" s="52">
        <v>11126</v>
      </c>
    </row>
    <row r="1543" spans="2:13" ht="15" customHeight="1" x14ac:dyDescent="0.3">
      <c r="B1543" s="135">
        <v>15</v>
      </c>
      <c r="E1543" s="151">
        <v>11</v>
      </c>
      <c r="F1543" s="152" t="s">
        <v>792</v>
      </c>
      <c r="G1543" s="152" t="s">
        <v>793</v>
      </c>
      <c r="H1543" s="153">
        <v>780</v>
      </c>
      <c r="I1543" s="153">
        <v>0</v>
      </c>
      <c r="J1543" s="154">
        <f t="shared" si="45"/>
        <v>780</v>
      </c>
      <c r="M1543" s="52">
        <v>11127</v>
      </c>
    </row>
    <row r="1544" spans="2:13" ht="15" customHeight="1" x14ac:dyDescent="0.3">
      <c r="B1544" s="135">
        <v>15</v>
      </c>
      <c r="E1544" s="151">
        <v>11</v>
      </c>
      <c r="F1544" s="152" t="s">
        <v>792</v>
      </c>
      <c r="G1544" s="152" t="s">
        <v>793</v>
      </c>
      <c r="H1544" s="153">
        <v>690</v>
      </c>
      <c r="I1544" s="153">
        <v>0</v>
      </c>
      <c r="J1544" s="154">
        <f t="shared" si="45"/>
        <v>690</v>
      </c>
      <c r="M1544" s="52">
        <v>11128</v>
      </c>
    </row>
    <row r="1545" spans="2:13" ht="15" customHeight="1" x14ac:dyDescent="0.3">
      <c r="B1545" s="135">
        <v>15</v>
      </c>
      <c r="E1545" s="151">
        <v>11</v>
      </c>
      <c r="F1545" s="152" t="s">
        <v>792</v>
      </c>
      <c r="G1545" s="152" t="s">
        <v>793</v>
      </c>
      <c r="H1545" s="153">
        <v>1280</v>
      </c>
      <c r="I1545" s="153">
        <v>0</v>
      </c>
      <c r="J1545" s="154">
        <f t="shared" si="45"/>
        <v>1280</v>
      </c>
      <c r="M1545" s="52">
        <v>11129</v>
      </c>
    </row>
    <row r="1546" spans="2:13" ht="15" customHeight="1" x14ac:dyDescent="0.3">
      <c r="B1546" s="135">
        <v>15</v>
      </c>
      <c r="E1546" s="151">
        <v>11</v>
      </c>
      <c r="F1546" s="152" t="s">
        <v>792</v>
      </c>
      <c r="G1546" s="152" t="s">
        <v>793</v>
      </c>
      <c r="H1546" s="153">
        <v>735</v>
      </c>
      <c r="I1546" s="153">
        <v>0</v>
      </c>
      <c r="J1546" s="154">
        <f t="shared" si="45"/>
        <v>735</v>
      </c>
      <c r="M1546" s="52">
        <v>11130</v>
      </c>
    </row>
    <row r="1547" spans="2:13" ht="15" customHeight="1" x14ac:dyDescent="0.3">
      <c r="B1547" s="135">
        <v>15</v>
      </c>
      <c r="E1547" s="151">
        <v>11</v>
      </c>
      <c r="F1547" s="152" t="s">
        <v>897</v>
      </c>
      <c r="G1547" s="152" t="s">
        <v>902</v>
      </c>
      <c r="H1547" s="153">
        <v>324.62</v>
      </c>
      <c r="I1547" s="153">
        <v>0</v>
      </c>
      <c r="J1547" s="154">
        <f t="shared" si="45"/>
        <v>324.62</v>
      </c>
      <c r="M1547" s="52">
        <v>11131</v>
      </c>
    </row>
    <row r="1548" spans="2:13" ht="15" customHeight="1" x14ac:dyDescent="0.3">
      <c r="B1548" s="135">
        <v>15</v>
      </c>
      <c r="E1548" s="151">
        <v>11</v>
      </c>
      <c r="F1548" s="152" t="s">
        <v>897</v>
      </c>
      <c r="G1548" s="152" t="s">
        <v>903</v>
      </c>
      <c r="H1548" s="153">
        <v>132.81</v>
      </c>
      <c r="I1548" s="153">
        <v>0</v>
      </c>
      <c r="J1548" s="154">
        <f t="shared" si="45"/>
        <v>132.81</v>
      </c>
      <c r="M1548" s="52">
        <v>11133</v>
      </c>
    </row>
    <row r="1549" spans="2:13" ht="15" customHeight="1" x14ac:dyDescent="0.3">
      <c r="B1549" s="135">
        <v>15</v>
      </c>
      <c r="E1549" s="151">
        <v>11</v>
      </c>
      <c r="F1549" s="152" t="s">
        <v>897</v>
      </c>
      <c r="G1549" s="152" t="s">
        <v>821</v>
      </c>
      <c r="H1549" s="153">
        <v>25000</v>
      </c>
      <c r="I1549" s="153">
        <v>0</v>
      </c>
      <c r="J1549" s="154">
        <f t="shared" si="45"/>
        <v>25000</v>
      </c>
      <c r="M1549" s="52">
        <v>11146</v>
      </c>
    </row>
    <row r="1550" spans="2:13" ht="15" customHeight="1" x14ac:dyDescent="0.3">
      <c r="B1550" s="135">
        <v>15</v>
      </c>
      <c r="E1550" s="151">
        <v>11</v>
      </c>
      <c r="F1550" s="152" t="s">
        <v>792</v>
      </c>
      <c r="G1550" s="152" t="s">
        <v>793</v>
      </c>
      <c r="H1550" s="153">
        <v>495</v>
      </c>
      <c r="I1550" s="153">
        <v>0</v>
      </c>
      <c r="J1550" s="154">
        <f t="shared" si="45"/>
        <v>495</v>
      </c>
      <c r="M1550" s="52">
        <v>11147</v>
      </c>
    </row>
    <row r="1551" spans="2:13" ht="15" customHeight="1" x14ac:dyDescent="0.3">
      <c r="B1551" s="135">
        <v>15</v>
      </c>
      <c r="E1551" s="151">
        <v>11</v>
      </c>
      <c r="F1551" s="152" t="s">
        <v>792</v>
      </c>
      <c r="G1551" s="152" t="s">
        <v>793</v>
      </c>
      <c r="H1551" s="153">
        <v>1725</v>
      </c>
      <c r="I1551" s="153">
        <v>0</v>
      </c>
      <c r="J1551" s="154">
        <f t="shared" si="45"/>
        <v>1725</v>
      </c>
      <c r="M1551" s="52">
        <v>11148</v>
      </c>
    </row>
    <row r="1552" spans="2:13" ht="15" customHeight="1" x14ac:dyDescent="0.3">
      <c r="B1552" s="135">
        <v>15</v>
      </c>
      <c r="E1552" s="151">
        <v>11</v>
      </c>
      <c r="F1552" s="152" t="s">
        <v>792</v>
      </c>
      <c r="G1552" s="152" t="s">
        <v>793</v>
      </c>
      <c r="H1552" s="153">
        <v>1725</v>
      </c>
      <c r="I1552" s="153">
        <v>0</v>
      </c>
      <c r="J1552" s="154">
        <f t="shared" si="45"/>
        <v>1725</v>
      </c>
      <c r="M1552" s="52">
        <v>11152</v>
      </c>
    </row>
    <row r="1553" spans="2:13" ht="15" customHeight="1" x14ac:dyDescent="0.3">
      <c r="B1553" s="135">
        <v>15</v>
      </c>
      <c r="E1553" s="151">
        <v>11</v>
      </c>
      <c r="F1553" s="152" t="s">
        <v>792</v>
      </c>
      <c r="G1553" s="152" t="s">
        <v>793</v>
      </c>
      <c r="H1553" s="153">
        <v>1520</v>
      </c>
      <c r="I1553" s="153">
        <v>0</v>
      </c>
      <c r="J1553" s="154">
        <f t="shared" si="45"/>
        <v>1520</v>
      </c>
      <c r="M1553" s="52">
        <v>11153</v>
      </c>
    </row>
    <row r="1554" spans="2:13" ht="15" customHeight="1" x14ac:dyDescent="0.3">
      <c r="B1554" s="135">
        <v>15</v>
      </c>
      <c r="E1554" s="151">
        <v>11</v>
      </c>
      <c r="F1554" s="152" t="s">
        <v>792</v>
      </c>
      <c r="G1554" s="152" t="s">
        <v>793</v>
      </c>
      <c r="H1554" s="153">
        <v>2500</v>
      </c>
      <c r="I1554" s="153">
        <v>0</v>
      </c>
      <c r="J1554" s="154">
        <f t="shared" si="45"/>
        <v>2500</v>
      </c>
      <c r="M1554" s="52">
        <v>11156</v>
      </c>
    </row>
    <row r="1555" spans="2:13" ht="15" customHeight="1" x14ac:dyDescent="0.3">
      <c r="B1555" s="135">
        <v>15</v>
      </c>
      <c r="E1555" s="151">
        <v>11</v>
      </c>
      <c r="F1555" s="152" t="s">
        <v>897</v>
      </c>
      <c r="G1555" s="152" t="s">
        <v>904</v>
      </c>
      <c r="H1555" s="153">
        <v>13.43</v>
      </c>
      <c r="I1555" s="153">
        <v>0</v>
      </c>
      <c r="J1555" s="154">
        <f t="shared" si="45"/>
        <v>13.43</v>
      </c>
      <c r="M1555" s="52">
        <v>11166</v>
      </c>
    </row>
    <row r="1556" spans="2:13" ht="15" customHeight="1" x14ac:dyDescent="0.3">
      <c r="B1556" s="135">
        <v>15</v>
      </c>
      <c r="E1556" s="151">
        <v>11</v>
      </c>
      <c r="F1556" s="152" t="s">
        <v>905</v>
      </c>
      <c r="G1556" s="152" t="s">
        <v>906</v>
      </c>
      <c r="H1556" s="153">
        <v>264.02</v>
      </c>
      <c r="I1556" s="153">
        <v>0</v>
      </c>
      <c r="J1556" s="154">
        <f t="shared" si="45"/>
        <v>264.02</v>
      </c>
      <c r="M1556" s="52">
        <v>11191</v>
      </c>
    </row>
    <row r="1557" spans="2:13" ht="15" customHeight="1" x14ac:dyDescent="0.3">
      <c r="B1557" s="135">
        <v>15</v>
      </c>
      <c r="E1557" s="151">
        <v>11</v>
      </c>
      <c r="F1557" s="152" t="s">
        <v>905</v>
      </c>
      <c r="G1557" s="152" t="s">
        <v>907</v>
      </c>
      <c r="H1557" s="153">
        <v>99.56</v>
      </c>
      <c r="I1557" s="153">
        <v>0</v>
      </c>
      <c r="J1557" s="154">
        <f t="shared" si="45"/>
        <v>99.56</v>
      </c>
      <c r="M1557" s="52">
        <v>11196</v>
      </c>
    </row>
    <row r="1558" spans="2:13" ht="15" customHeight="1" x14ac:dyDescent="0.3">
      <c r="B1558" s="135">
        <v>15</v>
      </c>
      <c r="E1558" s="151">
        <v>11</v>
      </c>
      <c r="F1558" s="152" t="s">
        <v>897</v>
      </c>
      <c r="G1558" s="152" t="s">
        <v>908</v>
      </c>
      <c r="H1558" s="153">
        <v>102.86</v>
      </c>
      <c r="I1558" s="153">
        <v>0</v>
      </c>
      <c r="J1558" s="154">
        <f t="shared" si="45"/>
        <v>102.86</v>
      </c>
      <c r="M1558" s="52">
        <v>11206</v>
      </c>
    </row>
    <row r="1559" spans="2:13" ht="15" customHeight="1" x14ac:dyDescent="0.3">
      <c r="B1559" s="135">
        <v>15</v>
      </c>
      <c r="E1559" s="151">
        <v>11</v>
      </c>
      <c r="F1559" s="152" t="s">
        <v>792</v>
      </c>
      <c r="G1559" s="152" t="s">
        <v>793</v>
      </c>
      <c r="H1559" s="153">
        <v>1117.5</v>
      </c>
      <c r="I1559" s="153">
        <v>0</v>
      </c>
      <c r="J1559" s="154">
        <f t="shared" si="45"/>
        <v>1117.5</v>
      </c>
      <c r="M1559" s="52">
        <v>11212</v>
      </c>
    </row>
    <row r="1560" spans="2:13" ht="15" customHeight="1" x14ac:dyDescent="0.3">
      <c r="B1560" s="135">
        <v>15</v>
      </c>
      <c r="E1560" s="151">
        <v>11</v>
      </c>
      <c r="F1560" s="152" t="s">
        <v>792</v>
      </c>
      <c r="G1560" s="152" t="s">
        <v>793</v>
      </c>
      <c r="H1560" s="153">
        <v>1237.5</v>
      </c>
      <c r="I1560" s="153">
        <v>0</v>
      </c>
      <c r="J1560" s="154">
        <f t="shared" si="45"/>
        <v>1237.5</v>
      </c>
      <c r="M1560" s="52">
        <v>11213</v>
      </c>
    </row>
    <row r="1561" spans="2:13" ht="15" customHeight="1" x14ac:dyDescent="0.3">
      <c r="B1561" s="135">
        <v>15</v>
      </c>
      <c r="E1561" s="151">
        <v>11</v>
      </c>
      <c r="F1561" s="152" t="s">
        <v>909</v>
      </c>
      <c r="G1561" s="152" t="s">
        <v>821</v>
      </c>
      <c r="H1561" s="153">
        <v>30000</v>
      </c>
      <c r="I1561" s="153">
        <v>0</v>
      </c>
      <c r="J1561" s="154">
        <f t="shared" si="45"/>
        <v>30000</v>
      </c>
      <c r="M1561" s="52">
        <v>11214</v>
      </c>
    </row>
    <row r="1562" spans="2:13" ht="15" customHeight="1" x14ac:dyDescent="0.3">
      <c r="B1562" s="135">
        <v>15</v>
      </c>
      <c r="E1562" s="151">
        <v>11</v>
      </c>
      <c r="F1562" s="152" t="s">
        <v>792</v>
      </c>
      <c r="G1562" s="152" t="s">
        <v>793</v>
      </c>
      <c r="H1562" s="153">
        <v>630</v>
      </c>
      <c r="I1562" s="153">
        <v>0</v>
      </c>
      <c r="J1562" s="154">
        <f t="shared" si="45"/>
        <v>630</v>
      </c>
      <c r="M1562" s="52">
        <v>11219</v>
      </c>
    </row>
    <row r="1563" spans="2:13" ht="15" customHeight="1" x14ac:dyDescent="0.3">
      <c r="B1563" s="135">
        <v>15</v>
      </c>
      <c r="E1563" s="151">
        <v>11</v>
      </c>
      <c r="F1563" s="152" t="s">
        <v>792</v>
      </c>
      <c r="G1563" s="152" t="s">
        <v>793</v>
      </c>
      <c r="H1563" s="153">
        <v>1202.5</v>
      </c>
      <c r="I1563" s="153">
        <v>0</v>
      </c>
      <c r="J1563" s="154">
        <f t="shared" si="45"/>
        <v>1202.5</v>
      </c>
      <c r="M1563" s="52">
        <v>11220</v>
      </c>
    </row>
    <row r="1564" spans="2:13" ht="15" customHeight="1" x14ac:dyDescent="0.3">
      <c r="B1564" s="135">
        <v>15</v>
      </c>
      <c r="E1564" s="151">
        <v>15</v>
      </c>
      <c r="F1564" s="152" t="s">
        <v>910</v>
      </c>
      <c r="G1564" s="152" t="s">
        <v>911</v>
      </c>
      <c r="H1564" s="153">
        <v>136.91</v>
      </c>
      <c r="I1564" s="153">
        <v>0</v>
      </c>
      <c r="J1564" s="154">
        <f t="shared" si="45"/>
        <v>136.91</v>
      </c>
      <c r="M1564" s="52">
        <v>11113</v>
      </c>
    </row>
    <row r="1565" spans="2:13" ht="15" customHeight="1" x14ac:dyDescent="0.3">
      <c r="B1565" s="135">
        <v>15</v>
      </c>
      <c r="E1565" s="151">
        <v>15</v>
      </c>
      <c r="F1565" s="152" t="s">
        <v>912</v>
      </c>
      <c r="G1565" s="152" t="s">
        <v>913</v>
      </c>
      <c r="H1565" s="153">
        <v>6724.97</v>
      </c>
      <c r="I1565" s="153">
        <v>0</v>
      </c>
      <c r="J1565" s="154">
        <f t="shared" si="45"/>
        <v>6724.97</v>
      </c>
      <c r="M1565" s="52">
        <v>11224</v>
      </c>
    </row>
    <row r="1566" spans="2:13" ht="15" customHeight="1" x14ac:dyDescent="0.3">
      <c r="B1566" s="135">
        <v>15</v>
      </c>
      <c r="E1566" s="151">
        <v>15</v>
      </c>
      <c r="F1566" s="152" t="s">
        <v>914</v>
      </c>
      <c r="G1566" s="152" t="s">
        <v>915</v>
      </c>
      <c r="H1566" s="153">
        <v>5169.67</v>
      </c>
      <c r="I1566" s="153">
        <v>0</v>
      </c>
      <c r="J1566" s="154">
        <f t="shared" si="45"/>
        <v>5169.67</v>
      </c>
      <c r="M1566" s="52" t="s">
        <v>575</v>
      </c>
    </row>
    <row r="1567" spans="2:13" ht="15" customHeight="1" x14ac:dyDescent="0.3">
      <c r="B1567" s="135">
        <v>15</v>
      </c>
      <c r="E1567" s="151">
        <v>15</v>
      </c>
      <c r="F1567" s="152" t="s">
        <v>916</v>
      </c>
      <c r="G1567" s="152" t="s">
        <v>915</v>
      </c>
      <c r="H1567" s="153">
        <v>-5169.67</v>
      </c>
      <c r="I1567" s="153">
        <v>0</v>
      </c>
      <c r="J1567" s="154">
        <f t="shared" si="45"/>
        <v>-5169.67</v>
      </c>
      <c r="M1567" s="52" t="s">
        <v>575</v>
      </c>
    </row>
    <row r="1568" spans="2:13" ht="15" customHeight="1" x14ac:dyDescent="0.3">
      <c r="B1568" s="135">
        <v>15</v>
      </c>
      <c r="E1568" s="151">
        <v>16</v>
      </c>
      <c r="F1568" s="152" t="s">
        <v>275</v>
      </c>
      <c r="G1568" s="152" t="s">
        <v>917</v>
      </c>
      <c r="H1568" s="153">
        <v>323.18</v>
      </c>
      <c r="I1568" s="153">
        <v>0</v>
      </c>
      <c r="J1568" s="154">
        <f t="shared" si="45"/>
        <v>323.18</v>
      </c>
      <c r="M1568" s="52">
        <v>11074</v>
      </c>
    </row>
    <row r="1569" spans="2:13" ht="15" customHeight="1" x14ac:dyDescent="0.3">
      <c r="B1569" s="135">
        <v>15</v>
      </c>
      <c r="E1569" s="151">
        <v>16</v>
      </c>
      <c r="F1569" s="152" t="s">
        <v>275</v>
      </c>
      <c r="G1569" s="152" t="s">
        <v>918</v>
      </c>
      <c r="H1569" s="153">
        <v>51.96</v>
      </c>
      <c r="I1569" s="153">
        <v>0</v>
      </c>
      <c r="J1569" s="154">
        <f t="shared" si="45"/>
        <v>51.96</v>
      </c>
      <c r="M1569" s="52">
        <v>11076</v>
      </c>
    </row>
    <row r="1570" spans="2:13" ht="15" customHeight="1" x14ac:dyDescent="0.3">
      <c r="B1570" s="135">
        <v>15</v>
      </c>
      <c r="E1570" s="151">
        <v>16</v>
      </c>
      <c r="F1570" s="152" t="s">
        <v>275</v>
      </c>
      <c r="G1570" s="152" t="s">
        <v>919</v>
      </c>
      <c r="H1570" s="153">
        <v>59.38</v>
      </c>
      <c r="I1570" s="153">
        <v>0</v>
      </c>
      <c r="J1570" s="154">
        <f t="shared" si="45"/>
        <v>59.38</v>
      </c>
      <c r="M1570" s="52">
        <v>11115</v>
      </c>
    </row>
    <row r="1571" spans="2:13" ht="15" customHeight="1" x14ac:dyDescent="0.3">
      <c r="B1571" s="135">
        <v>15</v>
      </c>
      <c r="E1571" s="151">
        <v>16</v>
      </c>
      <c r="F1571" s="152" t="s">
        <v>275</v>
      </c>
      <c r="G1571" s="152" t="s">
        <v>920</v>
      </c>
      <c r="H1571" s="153">
        <v>1251.8699999999999</v>
      </c>
      <c r="I1571" s="153">
        <v>0</v>
      </c>
      <c r="J1571" s="154">
        <f t="shared" si="45"/>
        <v>1251.8699999999999</v>
      </c>
      <c r="M1571" s="52">
        <v>11173</v>
      </c>
    </row>
    <row r="1572" spans="2:13" ht="15" customHeight="1" x14ac:dyDescent="0.3">
      <c r="B1572" s="135">
        <v>15</v>
      </c>
      <c r="E1572" s="151">
        <v>16</v>
      </c>
      <c r="F1572" s="152" t="s">
        <v>275</v>
      </c>
      <c r="G1572" s="152" t="s">
        <v>920</v>
      </c>
      <c r="H1572" s="153">
        <v>300.5</v>
      </c>
      <c r="I1572" s="153">
        <v>0</v>
      </c>
      <c r="J1572" s="154">
        <f t="shared" si="45"/>
        <v>300.5</v>
      </c>
      <c r="M1572" s="52">
        <v>11179</v>
      </c>
    </row>
    <row r="1573" spans="2:13" ht="15" customHeight="1" x14ac:dyDescent="0.3">
      <c r="B1573" s="135">
        <v>15</v>
      </c>
      <c r="E1573" s="151">
        <v>16</v>
      </c>
      <c r="F1573" s="152" t="s">
        <v>275</v>
      </c>
      <c r="G1573" s="152" t="s">
        <v>331</v>
      </c>
      <c r="H1573" s="153">
        <v>24792.5</v>
      </c>
      <c r="I1573" s="153">
        <v>0</v>
      </c>
      <c r="J1573" s="154">
        <f t="shared" si="45"/>
        <v>24792.5</v>
      </c>
      <c r="M1573" s="52">
        <v>11223</v>
      </c>
    </row>
    <row r="1574" spans="2:13" ht="15" customHeight="1" x14ac:dyDescent="0.3">
      <c r="B1574" s="135">
        <v>15</v>
      </c>
      <c r="E1574" s="151">
        <v>17</v>
      </c>
      <c r="F1574" s="152" t="s">
        <v>921</v>
      </c>
      <c r="G1574" s="152" t="s">
        <v>921</v>
      </c>
      <c r="H1574" s="153">
        <v>2479.4499999999998</v>
      </c>
      <c r="I1574" s="153">
        <v>0</v>
      </c>
      <c r="J1574" s="154">
        <f t="shared" si="45"/>
        <v>2479.4499999999998</v>
      </c>
      <c r="M1574" s="52" t="s">
        <v>575</v>
      </c>
    </row>
    <row r="1575" spans="2:13" ht="15" customHeight="1" x14ac:dyDescent="0.3">
      <c r="B1575" s="135">
        <v>15</v>
      </c>
      <c r="E1575" s="151">
        <v>17</v>
      </c>
      <c r="F1575" s="152" t="s">
        <v>921</v>
      </c>
      <c r="G1575" s="152" t="s">
        <v>921</v>
      </c>
      <c r="H1575" s="153">
        <v>2479.4499999999998</v>
      </c>
      <c r="I1575" s="153">
        <v>0</v>
      </c>
      <c r="J1575" s="154">
        <f t="shared" si="45"/>
        <v>2479.4499999999998</v>
      </c>
      <c r="M1575" s="52" t="s">
        <v>575</v>
      </c>
    </row>
    <row r="1576" spans="2:13" ht="15" customHeight="1" x14ac:dyDescent="0.3">
      <c r="B1576" s="135">
        <v>15</v>
      </c>
      <c r="E1576" s="151">
        <v>17</v>
      </c>
      <c r="F1576" s="152" t="s">
        <v>209</v>
      </c>
      <c r="G1576" s="152" t="s">
        <v>922</v>
      </c>
      <c r="H1576" s="153">
        <v>170.23</v>
      </c>
      <c r="I1576" s="153">
        <v>0</v>
      </c>
      <c r="J1576" s="154">
        <f t="shared" si="45"/>
        <v>170.23</v>
      </c>
      <c r="M1576" s="52" t="s">
        <v>575</v>
      </c>
    </row>
    <row r="1577" spans="2:13" ht="15" customHeight="1" x14ac:dyDescent="0.3">
      <c r="B1577" s="135">
        <v>15</v>
      </c>
      <c r="E1577" s="151">
        <v>17</v>
      </c>
      <c r="F1577" s="152" t="s">
        <v>209</v>
      </c>
      <c r="G1577" s="152" t="s">
        <v>922</v>
      </c>
      <c r="H1577" s="153">
        <v>170.23</v>
      </c>
      <c r="I1577" s="153">
        <v>0</v>
      </c>
      <c r="J1577" s="154">
        <f t="shared" si="45"/>
        <v>170.23</v>
      </c>
      <c r="M1577" s="52" t="s">
        <v>575</v>
      </c>
    </row>
    <row r="1578" spans="2:13" ht="15" customHeight="1" x14ac:dyDescent="0.3">
      <c r="B1578" s="135">
        <v>15</v>
      </c>
      <c r="E1578" s="151">
        <v>1</v>
      </c>
      <c r="F1578" s="152" t="s">
        <v>261</v>
      </c>
      <c r="G1578" s="152" t="s">
        <v>816</v>
      </c>
      <c r="H1578" s="153">
        <v>10000</v>
      </c>
      <c r="I1578" s="153">
        <v>0</v>
      </c>
      <c r="J1578" s="154">
        <f>H1578-I1578</f>
        <v>10000</v>
      </c>
      <c r="M1578" s="52" t="s">
        <v>535</v>
      </c>
    </row>
    <row r="1579" spans="2:13" ht="15" customHeight="1" x14ac:dyDescent="0.3">
      <c r="B1579" s="135">
        <v>15</v>
      </c>
      <c r="E1579" s="151">
        <v>1</v>
      </c>
      <c r="F1579" s="152" t="s">
        <v>169</v>
      </c>
      <c r="G1579" s="152" t="s">
        <v>817</v>
      </c>
      <c r="H1579" s="153">
        <v>3888.8888888888887</v>
      </c>
      <c r="I1579" s="153">
        <v>0</v>
      </c>
      <c r="J1579" s="154">
        <f t="shared" ref="J1579:J1598" si="46">H1579-I1579</f>
        <v>3888.8888888888887</v>
      </c>
      <c r="M1579" s="52" t="s">
        <v>535</v>
      </c>
    </row>
    <row r="1580" spans="2:13" ht="15" customHeight="1" x14ac:dyDescent="0.3">
      <c r="B1580" s="135">
        <v>15</v>
      </c>
      <c r="E1580" s="151">
        <v>1</v>
      </c>
      <c r="F1580" s="152" t="s">
        <v>172</v>
      </c>
      <c r="G1580" s="152" t="s">
        <v>817</v>
      </c>
      <c r="H1580" s="153">
        <v>3611.1111111111113</v>
      </c>
      <c r="I1580" s="153">
        <v>0</v>
      </c>
      <c r="J1580" s="154">
        <f t="shared" si="46"/>
        <v>3611.1111111111113</v>
      </c>
      <c r="M1580" s="52" t="s">
        <v>535</v>
      </c>
    </row>
    <row r="1581" spans="2:13" ht="15" customHeight="1" x14ac:dyDescent="0.3">
      <c r="B1581" s="135">
        <v>15</v>
      </c>
      <c r="E1581" s="151">
        <v>1</v>
      </c>
      <c r="F1581" s="152" t="s">
        <v>261</v>
      </c>
      <c r="G1581" s="152" t="s">
        <v>818</v>
      </c>
      <c r="H1581" s="153">
        <v>10000</v>
      </c>
      <c r="I1581" s="153">
        <v>0</v>
      </c>
      <c r="J1581" s="154">
        <f t="shared" si="46"/>
        <v>10000</v>
      </c>
      <c r="M1581" s="52" t="s">
        <v>535</v>
      </c>
    </row>
    <row r="1582" spans="2:13" ht="15" customHeight="1" x14ac:dyDescent="0.3">
      <c r="B1582" s="135">
        <v>15</v>
      </c>
      <c r="E1582" s="151">
        <v>1</v>
      </c>
      <c r="F1582" s="152" t="s">
        <v>169</v>
      </c>
      <c r="G1582" s="152" t="s">
        <v>819</v>
      </c>
      <c r="H1582" s="153">
        <v>3888.8888888888887</v>
      </c>
      <c r="I1582" s="153">
        <v>0</v>
      </c>
      <c r="J1582" s="154">
        <f t="shared" si="46"/>
        <v>3888.8888888888887</v>
      </c>
      <c r="M1582" s="52" t="s">
        <v>535</v>
      </c>
    </row>
    <row r="1583" spans="2:13" ht="15" customHeight="1" x14ac:dyDescent="0.3">
      <c r="B1583" s="135">
        <v>15</v>
      </c>
      <c r="E1583" s="151">
        <v>1</v>
      </c>
      <c r="F1583" s="152" t="s">
        <v>172</v>
      </c>
      <c r="G1583" s="152" t="s">
        <v>819</v>
      </c>
      <c r="H1583" s="153">
        <v>3611.1111111111113</v>
      </c>
      <c r="I1583" s="153">
        <v>0</v>
      </c>
      <c r="J1583" s="154">
        <f t="shared" si="46"/>
        <v>3611.1111111111113</v>
      </c>
      <c r="M1583" s="52" t="s">
        <v>535</v>
      </c>
    </row>
    <row r="1584" spans="2:13" ht="15" customHeight="1" x14ac:dyDescent="0.3">
      <c r="B1584" s="135">
        <v>15</v>
      </c>
      <c r="E1584" s="151">
        <v>8</v>
      </c>
      <c r="F1584" s="152" t="s">
        <v>820</v>
      </c>
      <c r="G1584" s="152" t="s">
        <v>821</v>
      </c>
      <c r="H1584" s="153">
        <v>35000</v>
      </c>
      <c r="I1584" s="153">
        <v>0</v>
      </c>
      <c r="J1584" s="154">
        <f t="shared" si="46"/>
        <v>35000</v>
      </c>
      <c r="M1584" s="52" t="s">
        <v>575</v>
      </c>
    </row>
    <row r="1585" spans="2:13" ht="15" customHeight="1" x14ac:dyDescent="0.3">
      <c r="B1585" s="135">
        <v>15</v>
      </c>
      <c r="E1585" s="151">
        <v>9</v>
      </c>
      <c r="F1585" s="152" t="s">
        <v>822</v>
      </c>
      <c r="G1585" s="152" t="s">
        <v>823</v>
      </c>
      <c r="H1585" s="153">
        <v>39805.56</v>
      </c>
      <c r="I1585" s="153">
        <v>3980.56</v>
      </c>
      <c r="J1585" s="154">
        <f t="shared" si="46"/>
        <v>35825</v>
      </c>
      <c r="M1585" s="52">
        <v>11155</v>
      </c>
    </row>
    <row r="1586" spans="2:13" ht="15" customHeight="1" x14ac:dyDescent="0.3">
      <c r="B1586" s="135">
        <v>15</v>
      </c>
      <c r="E1586" s="151">
        <v>9</v>
      </c>
      <c r="F1586" s="152" t="s">
        <v>824</v>
      </c>
      <c r="G1586" s="152" t="s">
        <v>823</v>
      </c>
      <c r="H1586" s="153">
        <v>26000</v>
      </c>
      <c r="I1586" s="153">
        <v>2600</v>
      </c>
      <c r="J1586" s="154">
        <f t="shared" si="46"/>
        <v>23400</v>
      </c>
      <c r="M1586" s="52">
        <v>11155</v>
      </c>
    </row>
    <row r="1587" spans="2:13" ht="15" customHeight="1" x14ac:dyDescent="0.3">
      <c r="B1587" s="135">
        <v>15</v>
      </c>
      <c r="E1587" s="151">
        <v>11</v>
      </c>
      <c r="F1587" s="152" t="s">
        <v>825</v>
      </c>
      <c r="G1587" s="152" t="s">
        <v>821</v>
      </c>
      <c r="H1587" s="153">
        <v>18000</v>
      </c>
      <c r="I1587" s="153">
        <v>0</v>
      </c>
      <c r="J1587" s="154">
        <f t="shared" si="46"/>
        <v>18000</v>
      </c>
      <c r="M1587" s="52" t="s">
        <v>575</v>
      </c>
    </row>
    <row r="1588" spans="2:13" ht="15" customHeight="1" x14ac:dyDescent="0.3">
      <c r="B1588" s="135">
        <v>15</v>
      </c>
      <c r="E1588" s="151">
        <v>11</v>
      </c>
      <c r="F1588" s="152" t="s">
        <v>826</v>
      </c>
      <c r="G1588" s="152" t="s">
        <v>821</v>
      </c>
      <c r="H1588" s="153">
        <v>17000</v>
      </c>
      <c r="I1588" s="153">
        <v>0</v>
      </c>
      <c r="J1588" s="154">
        <f t="shared" si="46"/>
        <v>17000</v>
      </c>
      <c r="M1588" s="52" t="s">
        <v>575</v>
      </c>
    </row>
    <row r="1589" spans="2:13" ht="15" customHeight="1" x14ac:dyDescent="0.3">
      <c r="B1589" s="135">
        <v>15</v>
      </c>
      <c r="E1589" s="151">
        <v>14</v>
      </c>
      <c r="F1589" s="152" t="s">
        <v>827</v>
      </c>
      <c r="G1589" s="152" t="s">
        <v>828</v>
      </c>
      <c r="H1589" s="153">
        <v>10000</v>
      </c>
      <c r="I1589" s="153">
        <v>1000</v>
      </c>
      <c r="J1589" s="154">
        <f t="shared" si="46"/>
        <v>9000</v>
      </c>
      <c r="M1589" s="52">
        <v>11225</v>
      </c>
    </row>
    <row r="1590" spans="2:13" ht="15" customHeight="1" x14ac:dyDescent="0.3">
      <c r="B1590" s="135">
        <v>15</v>
      </c>
      <c r="E1590" s="151">
        <v>15</v>
      </c>
      <c r="F1590" s="152" t="s">
        <v>340</v>
      </c>
      <c r="G1590" s="152" t="s">
        <v>829</v>
      </c>
      <c r="H1590" s="153">
        <v>14341.289999999999</v>
      </c>
      <c r="I1590" s="153">
        <v>2136.998</v>
      </c>
      <c r="J1590" s="154">
        <f t="shared" si="46"/>
        <v>12204.291999999999</v>
      </c>
      <c r="M1590" s="52">
        <v>11217</v>
      </c>
    </row>
    <row r="1591" spans="2:13" ht="15" customHeight="1" x14ac:dyDescent="0.3">
      <c r="B1591" s="135">
        <v>15</v>
      </c>
      <c r="E1591" s="151">
        <v>15</v>
      </c>
      <c r="F1591" s="152" t="s">
        <v>340</v>
      </c>
      <c r="G1591" s="152" t="s">
        <v>829</v>
      </c>
      <c r="H1591" s="153">
        <v>7028.6900000000005</v>
      </c>
      <c r="I1591" s="153">
        <v>0</v>
      </c>
      <c r="J1591" s="154">
        <f t="shared" si="46"/>
        <v>7028.6900000000005</v>
      </c>
      <c r="M1591" s="52">
        <v>11217</v>
      </c>
    </row>
    <row r="1592" spans="2:13" ht="15" customHeight="1" x14ac:dyDescent="0.3">
      <c r="B1592" s="135">
        <v>15</v>
      </c>
      <c r="E1592" s="151">
        <v>15</v>
      </c>
      <c r="F1592" s="152" t="s">
        <v>340</v>
      </c>
      <c r="G1592" s="152" t="s">
        <v>830</v>
      </c>
      <c r="H1592" s="153">
        <v>5650.88</v>
      </c>
      <c r="I1592" s="153">
        <v>0</v>
      </c>
      <c r="J1592" s="154">
        <f t="shared" si="46"/>
        <v>5650.88</v>
      </c>
      <c r="M1592" s="52">
        <v>11218</v>
      </c>
    </row>
    <row r="1593" spans="2:13" ht="15" customHeight="1" x14ac:dyDescent="0.3">
      <c r="B1593" s="135">
        <v>15</v>
      </c>
      <c r="E1593" s="151">
        <v>15</v>
      </c>
      <c r="F1593" s="152" t="s">
        <v>340</v>
      </c>
      <c r="G1593" s="152" t="s">
        <v>830</v>
      </c>
      <c r="H1593" s="153">
        <v>2446.4499999999998</v>
      </c>
      <c r="I1593" s="153">
        <v>0</v>
      </c>
      <c r="J1593" s="154">
        <f t="shared" si="46"/>
        <v>2446.4499999999998</v>
      </c>
      <c r="M1593" s="52">
        <v>11218</v>
      </c>
    </row>
    <row r="1594" spans="2:13" ht="15" customHeight="1" x14ac:dyDescent="0.3">
      <c r="B1594" s="135">
        <v>15</v>
      </c>
      <c r="E1594" s="151">
        <v>15</v>
      </c>
      <c r="F1594" s="152" t="s">
        <v>340</v>
      </c>
      <c r="G1594" s="152" t="s">
        <v>830</v>
      </c>
      <c r="H1594" s="153">
        <v>1407.87</v>
      </c>
      <c r="I1594" s="153">
        <v>0</v>
      </c>
      <c r="J1594" s="154">
        <f t="shared" si="46"/>
        <v>1407.87</v>
      </c>
      <c r="M1594" s="52">
        <v>11218</v>
      </c>
    </row>
    <row r="1595" spans="2:13" ht="15" customHeight="1" x14ac:dyDescent="0.3">
      <c r="B1595" s="135">
        <v>15</v>
      </c>
      <c r="E1595" s="151">
        <v>15</v>
      </c>
      <c r="F1595" s="152" t="s">
        <v>340</v>
      </c>
      <c r="G1595" s="152" t="s">
        <v>830</v>
      </c>
      <c r="H1595" s="153">
        <v>12831.99</v>
      </c>
      <c r="I1595" s="153">
        <v>0</v>
      </c>
      <c r="J1595" s="154">
        <f t="shared" si="46"/>
        <v>12831.99</v>
      </c>
      <c r="M1595" s="52">
        <v>11218</v>
      </c>
    </row>
    <row r="1596" spans="2:13" ht="15" customHeight="1" x14ac:dyDescent="0.3">
      <c r="B1596" s="135">
        <v>15</v>
      </c>
      <c r="E1596" s="151">
        <v>15</v>
      </c>
      <c r="F1596" s="152" t="s">
        <v>340</v>
      </c>
      <c r="G1596" s="152" t="s">
        <v>830</v>
      </c>
      <c r="H1596" s="153">
        <v>93662.81</v>
      </c>
      <c r="I1596" s="153">
        <v>11600.002</v>
      </c>
      <c r="J1596" s="154">
        <f t="shared" si="46"/>
        <v>82062.80799999999</v>
      </c>
      <c r="M1596" s="52">
        <v>11218</v>
      </c>
    </row>
    <row r="1597" spans="2:13" ht="15" customHeight="1" x14ac:dyDescent="0.3">
      <c r="B1597" s="135">
        <v>15</v>
      </c>
      <c r="E1597" s="151">
        <v>18</v>
      </c>
      <c r="F1597" s="152" t="s">
        <v>6</v>
      </c>
      <c r="G1597" s="152" t="s">
        <v>817</v>
      </c>
      <c r="H1597" s="153">
        <v>16666.666666666668</v>
      </c>
      <c r="I1597" s="153">
        <v>1666.666666666667</v>
      </c>
      <c r="J1597" s="154">
        <f t="shared" si="46"/>
        <v>15000</v>
      </c>
      <c r="M1597" s="52" t="s">
        <v>535</v>
      </c>
    </row>
    <row r="1598" spans="2:13" ht="15" customHeight="1" x14ac:dyDescent="0.3">
      <c r="B1598" s="135">
        <v>15</v>
      </c>
      <c r="E1598" s="151">
        <v>18</v>
      </c>
      <c r="F1598" s="152" t="s">
        <v>6</v>
      </c>
      <c r="G1598" s="152" t="s">
        <v>819</v>
      </c>
      <c r="H1598" s="153">
        <v>16666.666666666668</v>
      </c>
      <c r="I1598" s="153">
        <v>1666.666666666667</v>
      </c>
      <c r="J1598" s="154">
        <f t="shared" si="46"/>
        <v>15000</v>
      </c>
      <c r="M1598" s="52" t="s">
        <v>535</v>
      </c>
    </row>
    <row r="1599" spans="2:13" ht="15" customHeight="1" x14ac:dyDescent="0.3">
      <c r="B1599" s="135">
        <v>16</v>
      </c>
      <c r="E1599" s="151">
        <v>1</v>
      </c>
      <c r="F1599" s="152" t="s">
        <v>924</v>
      </c>
      <c r="G1599" s="152" t="s">
        <v>925</v>
      </c>
      <c r="H1599" s="153">
        <v>20.52</v>
      </c>
      <c r="I1599" s="153">
        <v>0</v>
      </c>
      <c r="J1599" s="154">
        <f t="shared" ref="J1599:J1631" si="47">H1599-I1599</f>
        <v>20.52</v>
      </c>
      <c r="M1599" s="52">
        <v>11136</v>
      </c>
    </row>
    <row r="1600" spans="2:13" ht="15" customHeight="1" x14ac:dyDescent="0.3">
      <c r="B1600" s="135">
        <v>16</v>
      </c>
      <c r="E1600" s="151">
        <v>1</v>
      </c>
      <c r="F1600" s="152" t="s">
        <v>354</v>
      </c>
      <c r="G1600" s="152" t="s">
        <v>833</v>
      </c>
      <c r="H1600" s="153">
        <v>190.52</v>
      </c>
      <c r="I1600" s="153">
        <v>0</v>
      </c>
      <c r="J1600" s="154">
        <f t="shared" si="47"/>
        <v>190.52</v>
      </c>
      <c r="M1600" s="52">
        <v>11210</v>
      </c>
    </row>
    <row r="1601" spans="2:13" ht="15" customHeight="1" x14ac:dyDescent="0.3">
      <c r="B1601" s="135">
        <v>16</v>
      </c>
      <c r="E1601" s="151">
        <v>1</v>
      </c>
      <c r="F1601" s="152" t="s">
        <v>352</v>
      </c>
      <c r="G1601" s="152" t="s">
        <v>833</v>
      </c>
      <c r="H1601" s="153">
        <v>921.75</v>
      </c>
      <c r="I1601" s="153">
        <v>0</v>
      </c>
      <c r="J1601" s="154">
        <f t="shared" si="47"/>
        <v>921.75</v>
      </c>
      <c r="M1601" s="52">
        <v>11226</v>
      </c>
    </row>
    <row r="1602" spans="2:13" ht="15" customHeight="1" x14ac:dyDescent="0.3">
      <c r="B1602" s="135">
        <v>16</v>
      </c>
      <c r="E1602" s="151">
        <v>1</v>
      </c>
      <c r="F1602" s="152" t="s">
        <v>354</v>
      </c>
      <c r="G1602" s="152" t="s">
        <v>833</v>
      </c>
      <c r="H1602" s="153">
        <v>214.06</v>
      </c>
      <c r="I1602" s="153">
        <v>0</v>
      </c>
      <c r="J1602" s="154">
        <f t="shared" si="47"/>
        <v>214.06</v>
      </c>
      <c r="M1602" s="52">
        <v>11229</v>
      </c>
    </row>
    <row r="1603" spans="2:13" ht="15" customHeight="1" x14ac:dyDescent="0.3">
      <c r="B1603" s="135">
        <v>16</v>
      </c>
      <c r="E1603" s="151">
        <v>1</v>
      </c>
      <c r="F1603" s="152" t="s">
        <v>175</v>
      </c>
      <c r="G1603" s="152" t="s">
        <v>538</v>
      </c>
      <c r="H1603" s="153">
        <v>954.77</v>
      </c>
      <c r="I1603" s="153">
        <v>0</v>
      </c>
      <c r="J1603" s="154">
        <f t="shared" si="47"/>
        <v>954.77</v>
      </c>
      <c r="M1603" s="52">
        <v>11230</v>
      </c>
    </row>
    <row r="1604" spans="2:13" ht="15" customHeight="1" x14ac:dyDescent="0.3">
      <c r="B1604" s="135">
        <v>16</v>
      </c>
      <c r="E1604" s="151">
        <v>1</v>
      </c>
      <c r="F1604" s="152" t="s">
        <v>354</v>
      </c>
      <c r="G1604" s="152" t="s">
        <v>255</v>
      </c>
      <c r="H1604" s="153">
        <v>187.27</v>
      </c>
      <c r="I1604" s="153">
        <v>0</v>
      </c>
      <c r="J1604" s="154">
        <f t="shared" si="47"/>
        <v>187.27</v>
      </c>
      <c r="M1604" s="52">
        <v>11236</v>
      </c>
    </row>
    <row r="1605" spans="2:13" ht="15" customHeight="1" x14ac:dyDescent="0.3">
      <c r="B1605" s="135">
        <v>16</v>
      </c>
      <c r="E1605" s="151">
        <v>1</v>
      </c>
      <c r="F1605" s="152" t="s">
        <v>354</v>
      </c>
      <c r="G1605" s="152" t="s">
        <v>833</v>
      </c>
      <c r="H1605" s="153">
        <v>187.27</v>
      </c>
      <c r="I1605" s="153">
        <v>0</v>
      </c>
      <c r="J1605" s="154">
        <f t="shared" si="47"/>
        <v>187.27</v>
      </c>
      <c r="M1605" s="52">
        <v>11248</v>
      </c>
    </row>
    <row r="1606" spans="2:13" ht="15" customHeight="1" x14ac:dyDescent="0.3">
      <c r="B1606" s="135">
        <v>16</v>
      </c>
      <c r="E1606" s="151">
        <v>1</v>
      </c>
      <c r="F1606" s="152" t="s">
        <v>354</v>
      </c>
      <c r="G1606" s="152" t="s">
        <v>833</v>
      </c>
      <c r="H1606" s="153">
        <v>187.27</v>
      </c>
      <c r="I1606" s="153">
        <v>0</v>
      </c>
      <c r="J1606" s="154">
        <f t="shared" si="47"/>
        <v>187.27</v>
      </c>
      <c r="M1606" s="52">
        <v>11249</v>
      </c>
    </row>
    <row r="1607" spans="2:13" ht="15" customHeight="1" x14ac:dyDescent="0.3">
      <c r="B1607" s="135">
        <v>16</v>
      </c>
      <c r="E1607" s="151">
        <v>1</v>
      </c>
      <c r="F1607" s="152" t="s">
        <v>257</v>
      </c>
      <c r="G1607" s="152" t="s">
        <v>708</v>
      </c>
      <c r="H1607" s="153">
        <v>3439.37</v>
      </c>
      <c r="I1607" s="153">
        <v>0</v>
      </c>
      <c r="J1607" s="154">
        <f t="shared" si="47"/>
        <v>3439.37</v>
      </c>
      <c r="M1607" s="52">
        <v>11272</v>
      </c>
    </row>
    <row r="1608" spans="2:13" ht="15" customHeight="1" x14ac:dyDescent="0.3">
      <c r="B1608" s="135">
        <v>16</v>
      </c>
      <c r="E1608" s="151">
        <v>1</v>
      </c>
      <c r="F1608" s="152" t="s">
        <v>926</v>
      </c>
      <c r="G1608" s="152" t="s">
        <v>927</v>
      </c>
      <c r="H1608" s="153">
        <v>1299</v>
      </c>
      <c r="I1608" s="153">
        <v>0</v>
      </c>
      <c r="J1608" s="154">
        <f t="shared" si="47"/>
        <v>1299</v>
      </c>
      <c r="M1608" s="52">
        <v>11274</v>
      </c>
    </row>
    <row r="1609" spans="2:13" ht="15" customHeight="1" x14ac:dyDescent="0.3">
      <c r="B1609" s="135">
        <v>16</v>
      </c>
      <c r="E1609" s="151">
        <v>1</v>
      </c>
      <c r="F1609" s="152" t="s">
        <v>926</v>
      </c>
      <c r="G1609" s="152" t="s">
        <v>927</v>
      </c>
      <c r="H1609" s="153">
        <v>1299</v>
      </c>
      <c r="I1609" s="153">
        <v>0</v>
      </c>
      <c r="J1609" s="154">
        <f t="shared" si="47"/>
        <v>1299</v>
      </c>
      <c r="M1609" s="52">
        <v>11275</v>
      </c>
    </row>
    <row r="1610" spans="2:13" ht="15" customHeight="1" x14ac:dyDescent="0.3">
      <c r="B1610" s="135">
        <v>16</v>
      </c>
      <c r="E1610" s="151">
        <v>1</v>
      </c>
      <c r="F1610" s="152" t="s">
        <v>926</v>
      </c>
      <c r="G1610" s="152" t="s">
        <v>927</v>
      </c>
      <c r="H1610" s="153">
        <v>1515.5</v>
      </c>
      <c r="I1610" s="153">
        <v>0</v>
      </c>
      <c r="J1610" s="154">
        <f t="shared" si="47"/>
        <v>1515.5</v>
      </c>
      <c r="M1610" s="52">
        <v>11277</v>
      </c>
    </row>
    <row r="1611" spans="2:13" ht="15" customHeight="1" x14ac:dyDescent="0.3">
      <c r="B1611" s="135">
        <v>16</v>
      </c>
      <c r="E1611" s="151">
        <v>1</v>
      </c>
      <c r="F1611" s="152" t="s">
        <v>305</v>
      </c>
      <c r="G1611" s="152" t="s">
        <v>928</v>
      </c>
      <c r="H1611" s="153">
        <v>1187.5</v>
      </c>
      <c r="I1611" s="153">
        <v>0</v>
      </c>
      <c r="J1611" s="154">
        <f t="shared" si="47"/>
        <v>1187.5</v>
      </c>
      <c r="M1611" s="52">
        <v>11293</v>
      </c>
    </row>
    <row r="1612" spans="2:13" ht="15" customHeight="1" x14ac:dyDescent="0.3">
      <c r="B1612" s="135">
        <v>16</v>
      </c>
      <c r="E1612" s="151">
        <v>1</v>
      </c>
      <c r="F1612" s="152" t="s">
        <v>305</v>
      </c>
      <c r="G1612" s="152" t="s">
        <v>928</v>
      </c>
      <c r="H1612" s="153">
        <v>1306.25</v>
      </c>
      <c r="I1612" s="153">
        <v>0</v>
      </c>
      <c r="J1612" s="154">
        <f t="shared" si="47"/>
        <v>1306.25</v>
      </c>
      <c r="M1612" s="52">
        <v>12170</v>
      </c>
    </row>
    <row r="1613" spans="2:13" ht="15" customHeight="1" x14ac:dyDescent="0.3">
      <c r="B1613" s="135">
        <v>16</v>
      </c>
      <c r="E1613" s="151">
        <v>1</v>
      </c>
      <c r="F1613" s="152" t="s">
        <v>305</v>
      </c>
      <c r="G1613" s="152" t="s">
        <v>929</v>
      </c>
      <c r="H1613" s="153">
        <v>795</v>
      </c>
      <c r="I1613" s="153">
        <v>0</v>
      </c>
      <c r="J1613" s="154">
        <f t="shared" si="47"/>
        <v>795</v>
      </c>
      <c r="M1613" s="52">
        <v>12171</v>
      </c>
    </row>
    <row r="1614" spans="2:13" ht="15" customHeight="1" x14ac:dyDescent="0.3">
      <c r="B1614" s="135">
        <v>16</v>
      </c>
      <c r="E1614" s="151">
        <v>1</v>
      </c>
      <c r="F1614" s="152" t="s">
        <v>305</v>
      </c>
      <c r="G1614" s="152" t="s">
        <v>928</v>
      </c>
      <c r="H1614" s="153">
        <v>1068.75</v>
      </c>
      <c r="I1614" s="153">
        <v>0</v>
      </c>
      <c r="J1614" s="154">
        <f t="shared" si="47"/>
        <v>1068.75</v>
      </c>
      <c r="M1614" s="52">
        <v>12172</v>
      </c>
    </row>
    <row r="1615" spans="2:13" ht="15" customHeight="1" x14ac:dyDescent="0.3">
      <c r="B1615" s="135">
        <v>16</v>
      </c>
      <c r="E1615" s="151">
        <v>1</v>
      </c>
      <c r="F1615" s="152" t="s">
        <v>305</v>
      </c>
      <c r="G1615" s="152" t="s">
        <v>929</v>
      </c>
      <c r="H1615" s="153">
        <v>525.5</v>
      </c>
      <c r="I1615" s="153">
        <v>0</v>
      </c>
      <c r="J1615" s="154">
        <f t="shared" si="47"/>
        <v>525.5</v>
      </c>
      <c r="M1615" s="52">
        <v>12173</v>
      </c>
    </row>
    <row r="1616" spans="2:13" ht="15" customHeight="1" x14ac:dyDescent="0.3">
      <c r="B1616" s="135">
        <v>16</v>
      </c>
      <c r="E1616" s="151">
        <v>1</v>
      </c>
      <c r="F1616" s="152" t="s">
        <v>1031</v>
      </c>
      <c r="G1616" s="152" t="s">
        <v>308</v>
      </c>
      <c r="H1616" s="153">
        <v>8859.7999999999993</v>
      </c>
      <c r="I1616" s="153">
        <v>0</v>
      </c>
      <c r="J1616" s="154">
        <f>H1616-I1616</f>
        <v>8859.7999999999993</v>
      </c>
      <c r="M1616" s="52">
        <v>12180</v>
      </c>
    </row>
    <row r="1617" spans="2:13" ht="15" customHeight="1" x14ac:dyDescent="0.3">
      <c r="B1617" s="135">
        <v>16</v>
      </c>
      <c r="E1617" s="151">
        <v>1</v>
      </c>
      <c r="F1617" s="152" t="s">
        <v>354</v>
      </c>
      <c r="G1617" s="152" t="s">
        <v>833</v>
      </c>
      <c r="H1617" s="153">
        <v>214.06</v>
      </c>
      <c r="I1617" s="153">
        <v>0</v>
      </c>
      <c r="J1617" s="154">
        <f t="shared" si="47"/>
        <v>214.06</v>
      </c>
      <c r="M1617" s="52" t="s">
        <v>575</v>
      </c>
    </row>
    <row r="1618" spans="2:13" ht="15" customHeight="1" x14ac:dyDescent="0.3">
      <c r="B1618" s="135">
        <v>16</v>
      </c>
      <c r="E1618" s="151">
        <v>1</v>
      </c>
      <c r="F1618" s="152" t="s">
        <v>354</v>
      </c>
      <c r="G1618" s="152" t="s">
        <v>833</v>
      </c>
      <c r="H1618" s="153">
        <v>190.52</v>
      </c>
      <c r="I1618" s="153">
        <v>0</v>
      </c>
      <c r="J1618" s="154">
        <f t="shared" si="47"/>
        <v>190.52</v>
      </c>
      <c r="M1618" s="52" t="s">
        <v>575</v>
      </c>
    </row>
    <row r="1619" spans="2:13" ht="15" customHeight="1" x14ac:dyDescent="0.3">
      <c r="B1619" s="135">
        <v>16</v>
      </c>
      <c r="E1619" s="151">
        <v>1</v>
      </c>
      <c r="F1619" s="152" t="s">
        <v>354</v>
      </c>
      <c r="G1619" s="152" t="s">
        <v>833</v>
      </c>
      <c r="H1619" s="153">
        <v>190.52</v>
      </c>
      <c r="I1619" s="153">
        <v>0</v>
      </c>
      <c r="J1619" s="154">
        <f t="shared" si="47"/>
        <v>190.52</v>
      </c>
      <c r="M1619" s="52" t="s">
        <v>575</v>
      </c>
    </row>
    <row r="1620" spans="2:13" ht="15" customHeight="1" x14ac:dyDescent="0.3">
      <c r="B1620" s="135">
        <v>16</v>
      </c>
      <c r="E1620" s="151">
        <v>1</v>
      </c>
      <c r="F1620" s="152" t="s">
        <v>354</v>
      </c>
      <c r="G1620" s="152" t="s">
        <v>833</v>
      </c>
      <c r="H1620" s="153">
        <v>172.33</v>
      </c>
      <c r="I1620" s="153">
        <v>0</v>
      </c>
      <c r="J1620" s="154">
        <f t="shared" si="47"/>
        <v>172.33</v>
      </c>
      <c r="M1620" s="52" t="s">
        <v>575</v>
      </c>
    </row>
    <row r="1621" spans="2:13" ht="15" customHeight="1" x14ac:dyDescent="0.3">
      <c r="B1621" s="135">
        <v>16</v>
      </c>
      <c r="E1621" s="151">
        <v>1</v>
      </c>
      <c r="F1621" s="152" t="s">
        <v>354</v>
      </c>
      <c r="G1621" s="152" t="s">
        <v>833</v>
      </c>
      <c r="H1621" s="153">
        <v>172.33</v>
      </c>
      <c r="I1621" s="153">
        <v>0</v>
      </c>
      <c r="J1621" s="154">
        <f t="shared" si="47"/>
        <v>172.33</v>
      </c>
      <c r="M1621" s="52" t="s">
        <v>575</v>
      </c>
    </row>
    <row r="1622" spans="2:13" ht="15" customHeight="1" x14ac:dyDescent="0.3">
      <c r="B1622" s="135">
        <v>16</v>
      </c>
      <c r="E1622" s="151">
        <v>1</v>
      </c>
      <c r="F1622" s="152" t="s">
        <v>924</v>
      </c>
      <c r="G1622" s="152" t="s">
        <v>282</v>
      </c>
      <c r="H1622" s="153">
        <v>41.09</v>
      </c>
      <c r="I1622" s="153">
        <v>0</v>
      </c>
      <c r="J1622" s="154">
        <f t="shared" si="47"/>
        <v>41.09</v>
      </c>
      <c r="M1622" s="52" t="s">
        <v>575</v>
      </c>
    </row>
    <row r="1623" spans="2:13" ht="15" customHeight="1" x14ac:dyDescent="0.3">
      <c r="B1623" s="135">
        <v>16</v>
      </c>
      <c r="E1623" s="151">
        <v>1</v>
      </c>
      <c r="F1623" s="152" t="s">
        <v>354</v>
      </c>
      <c r="G1623" s="152" t="s">
        <v>833</v>
      </c>
      <c r="H1623" s="153">
        <v>190.52</v>
      </c>
      <c r="I1623" s="153">
        <v>0</v>
      </c>
      <c r="J1623" s="154">
        <f t="shared" si="47"/>
        <v>190.52</v>
      </c>
      <c r="M1623" s="52" t="s">
        <v>575</v>
      </c>
    </row>
    <row r="1624" spans="2:13" ht="15" customHeight="1" x14ac:dyDescent="0.3">
      <c r="B1624" s="135">
        <v>16</v>
      </c>
      <c r="E1624" s="151">
        <v>1</v>
      </c>
      <c r="F1624" s="152" t="s">
        <v>257</v>
      </c>
      <c r="G1624" s="152" t="s">
        <v>708</v>
      </c>
      <c r="H1624" s="153">
        <v>2105.2199999999998</v>
      </c>
      <c r="I1624" s="153">
        <v>0</v>
      </c>
      <c r="J1624" s="154">
        <f t="shared" si="47"/>
        <v>2105.2199999999998</v>
      </c>
      <c r="M1624" s="52" t="s">
        <v>575</v>
      </c>
    </row>
    <row r="1625" spans="2:13" ht="15" customHeight="1" x14ac:dyDescent="0.3">
      <c r="B1625" s="135">
        <v>16</v>
      </c>
      <c r="E1625" s="151">
        <v>1</v>
      </c>
      <c r="F1625" s="152" t="s">
        <v>930</v>
      </c>
      <c r="G1625" s="152" t="s">
        <v>931</v>
      </c>
      <c r="H1625" s="153">
        <v>86.58</v>
      </c>
      <c r="I1625" s="153">
        <v>0</v>
      </c>
      <c r="J1625" s="154">
        <f t="shared" si="47"/>
        <v>86.58</v>
      </c>
      <c r="M1625" s="52" t="s">
        <v>575</v>
      </c>
    </row>
    <row r="1626" spans="2:13" ht="15" customHeight="1" x14ac:dyDescent="0.3">
      <c r="B1626" s="135">
        <v>16</v>
      </c>
      <c r="E1626" s="151">
        <v>1</v>
      </c>
      <c r="F1626" s="152" t="s">
        <v>932</v>
      </c>
      <c r="G1626" s="152" t="s">
        <v>931</v>
      </c>
      <c r="H1626" s="153">
        <v>123.08</v>
      </c>
      <c r="I1626" s="153">
        <v>0</v>
      </c>
      <c r="J1626" s="154">
        <f t="shared" si="47"/>
        <v>123.08</v>
      </c>
      <c r="M1626" s="52" t="s">
        <v>575</v>
      </c>
    </row>
    <row r="1627" spans="2:13" ht="15" customHeight="1" x14ac:dyDescent="0.3">
      <c r="B1627" s="135">
        <v>16</v>
      </c>
      <c r="E1627" s="151">
        <v>1</v>
      </c>
      <c r="F1627" s="152" t="s">
        <v>933</v>
      </c>
      <c r="G1627" s="152" t="s">
        <v>931</v>
      </c>
      <c r="H1627" s="153">
        <v>6.48</v>
      </c>
      <c r="I1627" s="153">
        <v>0</v>
      </c>
      <c r="J1627" s="154">
        <f t="shared" si="47"/>
        <v>6.48</v>
      </c>
      <c r="M1627" s="52" t="s">
        <v>575</v>
      </c>
    </row>
    <row r="1628" spans="2:13" ht="15" customHeight="1" x14ac:dyDescent="0.3">
      <c r="B1628" s="135">
        <v>16</v>
      </c>
      <c r="E1628" s="151">
        <v>1</v>
      </c>
      <c r="F1628" s="152" t="s">
        <v>934</v>
      </c>
      <c r="G1628" s="152" t="s">
        <v>931</v>
      </c>
      <c r="H1628" s="153">
        <v>37.880000000000003</v>
      </c>
      <c r="I1628" s="153">
        <v>0</v>
      </c>
      <c r="J1628" s="154">
        <f t="shared" si="47"/>
        <v>37.880000000000003</v>
      </c>
      <c r="M1628" s="52" t="s">
        <v>575</v>
      </c>
    </row>
    <row r="1629" spans="2:13" ht="15" customHeight="1" x14ac:dyDescent="0.3">
      <c r="B1629" s="135">
        <v>16</v>
      </c>
      <c r="E1629" s="151">
        <v>1</v>
      </c>
      <c r="F1629" s="152" t="s">
        <v>935</v>
      </c>
      <c r="G1629" s="152" t="s">
        <v>931</v>
      </c>
      <c r="H1629" s="153">
        <v>20.56</v>
      </c>
      <c r="I1629" s="153">
        <v>0</v>
      </c>
      <c r="J1629" s="154">
        <f t="shared" si="47"/>
        <v>20.56</v>
      </c>
      <c r="M1629" s="52" t="s">
        <v>575</v>
      </c>
    </row>
    <row r="1630" spans="2:13" ht="15" customHeight="1" x14ac:dyDescent="0.3">
      <c r="B1630" s="135">
        <v>16</v>
      </c>
      <c r="E1630" s="151">
        <v>1</v>
      </c>
      <c r="F1630" s="152" t="s">
        <v>936</v>
      </c>
      <c r="G1630" s="152" t="s">
        <v>937</v>
      </c>
      <c r="H1630" s="153">
        <v>818.96</v>
      </c>
      <c r="I1630" s="153">
        <v>0</v>
      </c>
      <c r="J1630" s="154">
        <f t="shared" si="47"/>
        <v>818.96</v>
      </c>
      <c r="M1630" s="52" t="s">
        <v>575</v>
      </c>
    </row>
    <row r="1631" spans="2:13" ht="15" customHeight="1" x14ac:dyDescent="0.3">
      <c r="B1631" s="135">
        <v>16</v>
      </c>
      <c r="E1631" s="151">
        <v>1</v>
      </c>
      <c r="F1631" s="152" t="s">
        <v>639</v>
      </c>
      <c r="G1631" s="152" t="s">
        <v>736</v>
      </c>
      <c r="H1631" s="153">
        <v>948.46</v>
      </c>
      <c r="I1631" s="153">
        <v>0</v>
      </c>
      <c r="J1631" s="154">
        <f t="shared" si="47"/>
        <v>948.46</v>
      </c>
      <c r="M1631" s="52" t="s">
        <v>575</v>
      </c>
    </row>
    <row r="1632" spans="2:13" ht="15" customHeight="1" x14ac:dyDescent="0.3">
      <c r="B1632" s="135">
        <v>16</v>
      </c>
      <c r="E1632" s="151">
        <v>1</v>
      </c>
      <c r="F1632" s="152" t="s">
        <v>643</v>
      </c>
      <c r="G1632" s="152" t="s">
        <v>594</v>
      </c>
      <c r="H1632" s="153">
        <v>269.16000000000003</v>
      </c>
      <c r="I1632" s="153">
        <v>0</v>
      </c>
      <c r="J1632" s="154">
        <f t="shared" ref="J1632:J1732" si="48">H1632-I1632</f>
        <v>269.16000000000003</v>
      </c>
      <c r="M1632" s="52" t="s">
        <v>575</v>
      </c>
    </row>
    <row r="1633" spans="2:13" ht="15" customHeight="1" x14ac:dyDescent="0.3">
      <c r="B1633" s="135">
        <v>16</v>
      </c>
      <c r="E1633" s="151">
        <v>1</v>
      </c>
      <c r="F1633" s="152" t="s">
        <v>643</v>
      </c>
      <c r="G1633" s="152" t="s">
        <v>594</v>
      </c>
      <c r="H1633" s="153">
        <v>269.16000000000003</v>
      </c>
      <c r="I1633" s="153">
        <v>0</v>
      </c>
      <c r="J1633" s="154">
        <f t="shared" si="48"/>
        <v>269.16000000000003</v>
      </c>
      <c r="M1633" s="52" t="s">
        <v>575</v>
      </c>
    </row>
    <row r="1634" spans="2:13" ht="15" customHeight="1" x14ac:dyDescent="0.3">
      <c r="B1634" s="135">
        <v>16</v>
      </c>
      <c r="E1634" s="151">
        <v>1</v>
      </c>
      <c r="F1634" s="152" t="s">
        <v>643</v>
      </c>
      <c r="G1634" s="152" t="s">
        <v>649</v>
      </c>
      <c r="H1634" s="153">
        <v>412.84</v>
      </c>
      <c r="I1634" s="153">
        <v>0</v>
      </c>
      <c r="J1634" s="154">
        <f t="shared" si="48"/>
        <v>412.84</v>
      </c>
      <c r="M1634" s="52" t="s">
        <v>575</v>
      </c>
    </row>
    <row r="1635" spans="2:13" ht="15" customHeight="1" x14ac:dyDescent="0.3">
      <c r="B1635" s="135">
        <v>16</v>
      </c>
      <c r="E1635" s="151">
        <v>1</v>
      </c>
      <c r="F1635" s="152" t="s">
        <v>697</v>
      </c>
      <c r="G1635" s="152" t="s">
        <v>845</v>
      </c>
      <c r="H1635" s="153">
        <v>10.65</v>
      </c>
      <c r="I1635" s="153">
        <v>0</v>
      </c>
      <c r="J1635" s="154">
        <f t="shared" si="48"/>
        <v>10.65</v>
      </c>
      <c r="M1635" s="52" t="s">
        <v>575</v>
      </c>
    </row>
    <row r="1636" spans="2:13" ht="15" customHeight="1" x14ac:dyDescent="0.3">
      <c r="B1636" s="135">
        <v>16</v>
      </c>
      <c r="E1636" s="151">
        <v>1</v>
      </c>
      <c r="F1636" s="152" t="s">
        <v>700</v>
      </c>
      <c r="G1636" s="152" t="s">
        <v>636</v>
      </c>
      <c r="H1636" s="153">
        <v>99.63</v>
      </c>
      <c r="I1636" s="153">
        <v>0</v>
      </c>
      <c r="J1636" s="154">
        <f t="shared" si="48"/>
        <v>99.63</v>
      </c>
      <c r="M1636" s="52" t="s">
        <v>575</v>
      </c>
    </row>
    <row r="1637" spans="2:13" ht="15" customHeight="1" x14ac:dyDescent="0.3">
      <c r="B1637" s="135">
        <v>16</v>
      </c>
      <c r="E1637" s="151">
        <v>1</v>
      </c>
      <c r="F1637" s="152" t="s">
        <v>700</v>
      </c>
      <c r="G1637" s="152" t="s">
        <v>636</v>
      </c>
      <c r="H1637" s="153">
        <v>94.54</v>
      </c>
      <c r="I1637" s="153">
        <v>0</v>
      </c>
      <c r="J1637" s="154">
        <f t="shared" si="48"/>
        <v>94.54</v>
      </c>
      <c r="M1637" s="52" t="s">
        <v>575</v>
      </c>
    </row>
    <row r="1638" spans="2:13" ht="15" customHeight="1" x14ac:dyDescent="0.3">
      <c r="B1638" s="135">
        <v>16</v>
      </c>
      <c r="E1638" s="151">
        <v>1</v>
      </c>
      <c r="F1638" s="152" t="s">
        <v>700</v>
      </c>
      <c r="G1638" s="152" t="s">
        <v>840</v>
      </c>
      <c r="H1638" s="153">
        <v>184.66</v>
      </c>
      <c r="I1638" s="153">
        <v>0</v>
      </c>
      <c r="J1638" s="154">
        <f t="shared" si="48"/>
        <v>184.66</v>
      </c>
      <c r="M1638" s="52" t="s">
        <v>575</v>
      </c>
    </row>
    <row r="1639" spans="2:13" ht="15" customHeight="1" x14ac:dyDescent="0.3">
      <c r="B1639" s="135">
        <v>16</v>
      </c>
      <c r="E1639" s="151">
        <v>1</v>
      </c>
      <c r="F1639" s="152" t="s">
        <v>936</v>
      </c>
      <c r="G1639" s="152" t="s">
        <v>937</v>
      </c>
      <c r="H1639" s="153">
        <v>162.59</v>
      </c>
      <c r="I1639" s="153">
        <v>0</v>
      </c>
      <c r="J1639" s="154">
        <f t="shared" si="48"/>
        <v>162.59</v>
      </c>
      <c r="M1639" s="52" t="s">
        <v>575</v>
      </c>
    </row>
    <row r="1640" spans="2:13" ht="15" customHeight="1" x14ac:dyDescent="0.3">
      <c r="B1640" s="135">
        <v>16</v>
      </c>
      <c r="E1640" s="151">
        <v>1</v>
      </c>
      <c r="F1640" s="152" t="s">
        <v>700</v>
      </c>
      <c r="G1640" s="152" t="s">
        <v>646</v>
      </c>
      <c r="H1640" s="153">
        <v>91.62</v>
      </c>
      <c r="I1640" s="153">
        <v>0</v>
      </c>
      <c r="J1640" s="154">
        <f t="shared" si="48"/>
        <v>91.62</v>
      </c>
      <c r="M1640" s="52" t="s">
        <v>575</v>
      </c>
    </row>
    <row r="1641" spans="2:13" ht="15" customHeight="1" x14ac:dyDescent="0.3">
      <c r="B1641" s="135">
        <v>16</v>
      </c>
      <c r="E1641" s="151">
        <v>1</v>
      </c>
      <c r="F1641" s="152" t="s">
        <v>847</v>
      </c>
      <c r="G1641" s="152" t="s">
        <v>586</v>
      </c>
      <c r="H1641" s="153">
        <v>153.6</v>
      </c>
      <c r="I1641" s="153">
        <v>0</v>
      </c>
      <c r="J1641" s="154">
        <f t="shared" si="48"/>
        <v>153.6</v>
      </c>
      <c r="M1641" s="52" t="s">
        <v>535</v>
      </c>
    </row>
    <row r="1642" spans="2:13" ht="15" customHeight="1" x14ac:dyDescent="0.3">
      <c r="B1642" s="135">
        <v>16</v>
      </c>
      <c r="E1642" s="151">
        <v>2</v>
      </c>
      <c r="F1642" s="152" t="s">
        <v>184</v>
      </c>
      <c r="G1642" s="152" t="s">
        <v>938</v>
      </c>
      <c r="H1642" s="153">
        <v>375</v>
      </c>
      <c r="I1642" s="153">
        <v>0</v>
      </c>
      <c r="J1642" s="154">
        <f>H1642-I1642</f>
        <v>375</v>
      </c>
      <c r="M1642" s="52">
        <v>11252</v>
      </c>
    </row>
    <row r="1643" spans="2:13" ht="15" customHeight="1" x14ac:dyDescent="0.3">
      <c r="B1643" s="135">
        <v>16</v>
      </c>
      <c r="E1643" s="151">
        <v>2</v>
      </c>
      <c r="F1643" s="152" t="s">
        <v>184</v>
      </c>
      <c r="G1643" s="152" t="s">
        <v>938</v>
      </c>
      <c r="H1643" s="153">
        <v>375</v>
      </c>
      <c r="I1643" s="153">
        <v>0</v>
      </c>
      <c r="J1643" s="154">
        <f t="shared" si="48"/>
        <v>375</v>
      </c>
      <c r="M1643" s="52">
        <v>11253</v>
      </c>
    </row>
    <row r="1644" spans="2:13" ht="15" customHeight="1" x14ac:dyDescent="0.3">
      <c r="B1644" s="135">
        <v>16</v>
      </c>
      <c r="E1644" s="151">
        <v>2</v>
      </c>
      <c r="F1644" s="152" t="s">
        <v>939</v>
      </c>
      <c r="G1644" s="152" t="s">
        <v>940</v>
      </c>
      <c r="H1644" s="153">
        <v>940</v>
      </c>
      <c r="I1644" s="153">
        <v>0</v>
      </c>
      <c r="J1644" s="154">
        <f t="shared" si="48"/>
        <v>940</v>
      </c>
      <c r="M1644" s="52">
        <v>11263</v>
      </c>
    </row>
    <row r="1645" spans="2:13" ht="15" customHeight="1" x14ac:dyDescent="0.3">
      <c r="B1645" s="135">
        <v>16</v>
      </c>
      <c r="E1645" s="151">
        <v>2</v>
      </c>
      <c r="F1645" s="152" t="s">
        <v>941</v>
      </c>
      <c r="G1645" s="152" t="s">
        <v>942</v>
      </c>
      <c r="H1645" s="153">
        <v>16000</v>
      </c>
      <c r="I1645" s="153">
        <v>0</v>
      </c>
      <c r="J1645" s="154">
        <f t="shared" si="48"/>
        <v>16000</v>
      </c>
      <c r="M1645" s="52">
        <v>11270</v>
      </c>
    </row>
    <row r="1646" spans="2:13" ht="15" customHeight="1" x14ac:dyDescent="0.3">
      <c r="B1646" s="135">
        <v>16</v>
      </c>
      <c r="E1646" s="151">
        <v>2</v>
      </c>
      <c r="F1646" s="152" t="s">
        <v>738</v>
      </c>
      <c r="G1646" s="152" t="s">
        <v>1034</v>
      </c>
      <c r="H1646" s="153">
        <v>65747.89</v>
      </c>
      <c r="I1646" s="153">
        <v>0</v>
      </c>
      <c r="J1646" s="154">
        <f t="shared" si="48"/>
        <v>65747.89</v>
      </c>
      <c r="M1646" s="158">
        <v>12190</v>
      </c>
    </row>
    <row r="1647" spans="2:13" ht="15" customHeight="1" x14ac:dyDescent="0.3">
      <c r="B1647" s="135">
        <v>16</v>
      </c>
      <c r="E1647" s="151">
        <v>2</v>
      </c>
      <c r="F1647" s="152" t="s">
        <v>943</v>
      </c>
      <c r="G1647" s="152" t="s">
        <v>942</v>
      </c>
      <c r="H1647" s="153">
        <v>65000</v>
      </c>
      <c r="I1647" s="153">
        <v>0</v>
      </c>
      <c r="J1647" s="154">
        <f t="shared" si="48"/>
        <v>65000</v>
      </c>
      <c r="M1647" s="52">
        <v>12190</v>
      </c>
    </row>
    <row r="1648" spans="2:13" ht="15" customHeight="1" x14ac:dyDescent="0.3">
      <c r="B1648" s="135">
        <v>16</v>
      </c>
      <c r="E1648" s="151">
        <v>2</v>
      </c>
      <c r="F1648" s="152" t="s">
        <v>944</v>
      </c>
      <c r="G1648" s="152" t="s">
        <v>945</v>
      </c>
      <c r="H1648" s="153">
        <v>576.42999999999995</v>
      </c>
      <c r="I1648" s="153">
        <v>0</v>
      </c>
      <c r="J1648" s="154">
        <f t="shared" si="48"/>
        <v>576.42999999999995</v>
      </c>
      <c r="M1648" s="52">
        <v>12191</v>
      </c>
    </row>
    <row r="1649" spans="2:13" ht="15" customHeight="1" x14ac:dyDescent="0.3">
      <c r="B1649" s="135">
        <v>16</v>
      </c>
      <c r="E1649" s="151">
        <v>2</v>
      </c>
      <c r="F1649" s="152" t="s">
        <v>944</v>
      </c>
      <c r="G1649" s="152" t="s">
        <v>945</v>
      </c>
      <c r="H1649" s="153">
        <v>457.36</v>
      </c>
      <c r="I1649" s="153">
        <v>0</v>
      </c>
      <c r="J1649" s="154">
        <f t="shared" si="48"/>
        <v>457.36</v>
      </c>
      <c r="M1649" s="52">
        <v>12192</v>
      </c>
    </row>
    <row r="1650" spans="2:13" ht="15" customHeight="1" x14ac:dyDescent="0.3">
      <c r="B1650" s="135">
        <v>16</v>
      </c>
      <c r="E1650" s="151">
        <v>2</v>
      </c>
      <c r="F1650" s="152" t="s">
        <v>946</v>
      </c>
      <c r="G1650" s="152" t="s">
        <v>942</v>
      </c>
      <c r="H1650" s="153">
        <v>4234</v>
      </c>
      <c r="I1650" s="153">
        <v>0</v>
      </c>
      <c r="J1650" s="154">
        <f t="shared" si="48"/>
        <v>4234</v>
      </c>
      <c r="M1650" s="52">
        <v>12193</v>
      </c>
    </row>
    <row r="1651" spans="2:13" ht="15" customHeight="1" x14ac:dyDescent="0.3">
      <c r="B1651" s="135">
        <v>16</v>
      </c>
      <c r="E1651" s="151">
        <v>3</v>
      </c>
      <c r="F1651" s="152" t="s">
        <v>947</v>
      </c>
      <c r="G1651" s="152" t="s">
        <v>940</v>
      </c>
      <c r="H1651" s="153">
        <v>900</v>
      </c>
      <c r="I1651" s="153">
        <v>0</v>
      </c>
      <c r="J1651" s="154">
        <f t="shared" si="48"/>
        <v>900</v>
      </c>
      <c r="M1651" s="52">
        <v>11262</v>
      </c>
    </row>
    <row r="1652" spans="2:13" ht="15" customHeight="1" x14ac:dyDescent="0.3">
      <c r="B1652" s="135">
        <v>16</v>
      </c>
      <c r="E1652" s="151">
        <v>5</v>
      </c>
      <c r="F1652" s="152" t="s">
        <v>1032</v>
      </c>
      <c r="G1652" s="152" t="s">
        <v>1033</v>
      </c>
      <c r="H1652" s="153">
        <v>320</v>
      </c>
      <c r="I1652" s="153">
        <v>320</v>
      </c>
      <c r="J1652" s="154">
        <f t="shared" si="48"/>
        <v>0</v>
      </c>
      <c r="M1652" s="52">
        <v>12189</v>
      </c>
    </row>
    <row r="1653" spans="2:13" ht="15" customHeight="1" x14ac:dyDescent="0.3">
      <c r="B1653" s="135">
        <v>16</v>
      </c>
      <c r="E1653" s="151">
        <v>6</v>
      </c>
      <c r="F1653" s="152" t="s">
        <v>948</v>
      </c>
      <c r="G1653" s="152" t="s">
        <v>1035</v>
      </c>
      <c r="H1653" s="153">
        <v>43357.31</v>
      </c>
      <c r="I1653" s="153">
        <v>0</v>
      </c>
      <c r="J1653" s="154">
        <f t="shared" si="48"/>
        <v>43357.31</v>
      </c>
      <c r="M1653" s="52">
        <v>10857</v>
      </c>
    </row>
    <row r="1654" spans="2:13" ht="15" customHeight="1" x14ac:dyDescent="0.3">
      <c r="B1654" s="135">
        <v>16</v>
      </c>
      <c r="E1654" s="151">
        <v>6</v>
      </c>
      <c r="F1654" s="152" t="s">
        <v>264</v>
      </c>
      <c r="G1654" s="152" t="s">
        <v>949</v>
      </c>
      <c r="H1654" s="153">
        <v>98.11</v>
      </c>
      <c r="I1654" s="153">
        <v>0</v>
      </c>
      <c r="J1654" s="154">
        <f t="shared" si="48"/>
        <v>98.11</v>
      </c>
      <c r="M1654" s="52">
        <v>11264</v>
      </c>
    </row>
    <row r="1655" spans="2:13" ht="15" customHeight="1" x14ac:dyDescent="0.3">
      <c r="B1655" s="135">
        <v>16</v>
      </c>
      <c r="E1655" s="151">
        <v>6</v>
      </c>
      <c r="F1655" s="152" t="s">
        <v>657</v>
      </c>
      <c r="G1655" s="152" t="s">
        <v>608</v>
      </c>
      <c r="H1655" s="153">
        <v>3425</v>
      </c>
      <c r="I1655" s="153">
        <v>0</v>
      </c>
      <c r="J1655" s="154">
        <f t="shared" si="48"/>
        <v>3425</v>
      </c>
      <c r="M1655" s="52">
        <v>12177</v>
      </c>
    </row>
    <row r="1656" spans="2:13" ht="15" customHeight="1" x14ac:dyDescent="0.3">
      <c r="B1656" s="135">
        <v>16</v>
      </c>
      <c r="E1656" s="151">
        <v>7</v>
      </c>
      <c r="F1656" s="152" t="s">
        <v>859</v>
      </c>
      <c r="G1656" s="152" t="s">
        <v>950</v>
      </c>
      <c r="H1656" s="153">
        <v>9857.1222222222223</v>
      </c>
      <c r="I1656" s="153">
        <v>985.71222222222229</v>
      </c>
      <c r="J1656" s="154">
        <f t="shared" si="48"/>
        <v>8871.41</v>
      </c>
      <c r="M1656" s="52">
        <v>12178</v>
      </c>
    </row>
    <row r="1657" spans="2:13" ht="15" customHeight="1" x14ac:dyDescent="0.3">
      <c r="B1657" s="135">
        <v>16</v>
      </c>
      <c r="E1657" s="151">
        <v>8</v>
      </c>
      <c r="F1657" s="152" t="s">
        <v>951</v>
      </c>
      <c r="G1657" s="152" t="s">
        <v>952</v>
      </c>
      <c r="H1657" s="153">
        <v>2725</v>
      </c>
      <c r="I1657" s="153">
        <v>0</v>
      </c>
      <c r="J1657" s="154">
        <f t="shared" si="48"/>
        <v>2725</v>
      </c>
      <c r="M1657" s="52">
        <v>12196</v>
      </c>
    </row>
    <row r="1658" spans="2:13" ht="15" customHeight="1" x14ac:dyDescent="0.3">
      <c r="B1658" s="135">
        <v>16</v>
      </c>
      <c r="E1658" s="151">
        <v>8</v>
      </c>
      <c r="F1658" s="152" t="s">
        <v>953</v>
      </c>
      <c r="G1658" s="152" t="s">
        <v>954</v>
      </c>
      <c r="H1658" s="153">
        <v>79.209999999999994</v>
      </c>
      <c r="I1658" s="153">
        <v>0</v>
      </c>
      <c r="J1658" s="154">
        <f t="shared" si="48"/>
        <v>79.209999999999994</v>
      </c>
      <c r="M1658" s="52">
        <v>12200</v>
      </c>
    </row>
    <row r="1659" spans="2:13" ht="15" customHeight="1" x14ac:dyDescent="0.3">
      <c r="B1659" s="135">
        <v>16</v>
      </c>
      <c r="E1659" s="151">
        <v>8</v>
      </c>
      <c r="F1659" s="152" t="s">
        <v>955</v>
      </c>
      <c r="G1659" s="152" t="s">
        <v>865</v>
      </c>
      <c r="H1659" s="153">
        <v>3415.29</v>
      </c>
      <c r="I1659" s="153">
        <v>0</v>
      </c>
      <c r="J1659" s="154">
        <f t="shared" si="48"/>
        <v>3415.29</v>
      </c>
      <c r="M1659" s="52" t="s">
        <v>575</v>
      </c>
    </row>
    <row r="1660" spans="2:13" ht="15" customHeight="1" x14ac:dyDescent="0.3">
      <c r="B1660" s="135">
        <v>16</v>
      </c>
      <c r="E1660" s="151">
        <v>9</v>
      </c>
      <c r="F1660" s="152" t="s">
        <v>772</v>
      </c>
      <c r="G1660" s="152" t="s">
        <v>956</v>
      </c>
      <c r="H1660" s="153">
        <v>40.67</v>
      </c>
      <c r="I1660" s="153">
        <v>0</v>
      </c>
      <c r="J1660" s="154">
        <f t="shared" si="48"/>
        <v>40.67</v>
      </c>
      <c r="M1660" s="52">
        <v>11049</v>
      </c>
    </row>
    <row r="1661" spans="2:13" ht="15" customHeight="1" x14ac:dyDescent="0.3">
      <c r="B1661" s="135">
        <v>16</v>
      </c>
      <c r="E1661" s="151">
        <v>9</v>
      </c>
      <c r="F1661" s="152" t="s">
        <v>772</v>
      </c>
      <c r="G1661" s="152" t="s">
        <v>957</v>
      </c>
      <c r="H1661" s="153">
        <v>34.19</v>
      </c>
      <c r="I1661" s="153">
        <v>0</v>
      </c>
      <c r="J1661" s="154">
        <f t="shared" si="48"/>
        <v>34.19</v>
      </c>
      <c r="M1661" s="52">
        <v>11132</v>
      </c>
    </row>
    <row r="1662" spans="2:13" ht="15" customHeight="1" x14ac:dyDescent="0.3">
      <c r="B1662" s="135">
        <v>16</v>
      </c>
      <c r="E1662" s="151">
        <v>9</v>
      </c>
      <c r="F1662" s="152" t="s">
        <v>772</v>
      </c>
      <c r="G1662" s="152" t="s">
        <v>958</v>
      </c>
      <c r="H1662" s="153">
        <v>142.21</v>
      </c>
      <c r="I1662" s="153">
        <v>0</v>
      </c>
      <c r="J1662" s="154">
        <f t="shared" si="48"/>
        <v>142.21</v>
      </c>
      <c r="M1662" s="52">
        <v>11231</v>
      </c>
    </row>
    <row r="1663" spans="2:13" ht="15" customHeight="1" x14ac:dyDescent="0.3">
      <c r="B1663" s="135">
        <v>16</v>
      </c>
      <c r="E1663" s="151">
        <v>9</v>
      </c>
      <c r="F1663" s="152" t="s">
        <v>772</v>
      </c>
      <c r="G1663" s="152" t="s">
        <v>959</v>
      </c>
      <c r="H1663" s="153">
        <v>31.34</v>
      </c>
      <c r="I1663" s="153">
        <v>0</v>
      </c>
      <c r="J1663" s="154">
        <f t="shared" si="48"/>
        <v>31.34</v>
      </c>
      <c r="M1663" s="52">
        <v>11232</v>
      </c>
    </row>
    <row r="1664" spans="2:13" ht="15" customHeight="1" x14ac:dyDescent="0.3">
      <c r="B1664" s="135">
        <v>16</v>
      </c>
      <c r="E1664" s="151">
        <v>9</v>
      </c>
      <c r="F1664" s="152" t="s">
        <v>772</v>
      </c>
      <c r="G1664" s="152" t="s">
        <v>960</v>
      </c>
      <c r="H1664" s="153">
        <v>38.4</v>
      </c>
      <c r="I1664" s="153">
        <v>0</v>
      </c>
      <c r="J1664" s="154">
        <f t="shared" si="48"/>
        <v>38.4</v>
      </c>
      <c r="M1664" s="52">
        <v>11233</v>
      </c>
    </row>
    <row r="1665" spans="2:13" ht="15" customHeight="1" x14ac:dyDescent="0.3">
      <c r="B1665" s="135">
        <v>16</v>
      </c>
      <c r="E1665" s="151">
        <v>9</v>
      </c>
      <c r="F1665" s="152" t="s">
        <v>772</v>
      </c>
      <c r="G1665" s="152" t="s">
        <v>961</v>
      </c>
      <c r="H1665" s="153">
        <v>375.27</v>
      </c>
      <c r="I1665" s="153">
        <v>0</v>
      </c>
      <c r="J1665" s="154">
        <f t="shared" si="48"/>
        <v>375.27</v>
      </c>
      <c r="M1665" s="52">
        <v>11235</v>
      </c>
    </row>
    <row r="1666" spans="2:13" ht="15" customHeight="1" x14ac:dyDescent="0.3">
      <c r="B1666" s="135">
        <v>16</v>
      </c>
      <c r="E1666" s="151">
        <v>9</v>
      </c>
      <c r="F1666" s="152" t="s">
        <v>772</v>
      </c>
      <c r="G1666" s="152" t="s">
        <v>962</v>
      </c>
      <c r="H1666" s="153">
        <v>99.18</v>
      </c>
      <c r="I1666" s="153">
        <v>0</v>
      </c>
      <c r="J1666" s="154">
        <f t="shared" si="48"/>
        <v>99.18</v>
      </c>
      <c r="M1666" s="52">
        <v>11237</v>
      </c>
    </row>
    <row r="1667" spans="2:13" ht="15" customHeight="1" x14ac:dyDescent="0.3">
      <c r="B1667" s="135">
        <v>16</v>
      </c>
      <c r="E1667" s="151">
        <v>9</v>
      </c>
      <c r="F1667" s="152" t="s">
        <v>772</v>
      </c>
      <c r="G1667" s="152" t="s">
        <v>963</v>
      </c>
      <c r="H1667" s="153">
        <v>144.85</v>
      </c>
      <c r="I1667" s="153">
        <v>0</v>
      </c>
      <c r="J1667" s="154">
        <f t="shared" si="48"/>
        <v>144.85</v>
      </c>
      <c r="M1667" s="52">
        <v>11238</v>
      </c>
    </row>
    <row r="1668" spans="2:13" ht="15" customHeight="1" x14ac:dyDescent="0.3">
      <c r="B1668" s="135">
        <v>16</v>
      </c>
      <c r="E1668" s="151">
        <v>9</v>
      </c>
      <c r="F1668" s="152" t="s">
        <v>772</v>
      </c>
      <c r="G1668" s="152" t="s">
        <v>964</v>
      </c>
      <c r="H1668" s="153">
        <v>862.58</v>
      </c>
      <c r="I1668" s="153">
        <v>0</v>
      </c>
      <c r="J1668" s="154">
        <f t="shared" si="48"/>
        <v>862.58</v>
      </c>
      <c r="M1668" s="52">
        <v>11239</v>
      </c>
    </row>
    <row r="1669" spans="2:13" ht="15" customHeight="1" x14ac:dyDescent="0.3">
      <c r="B1669" s="135">
        <v>16</v>
      </c>
      <c r="E1669" s="151">
        <v>9</v>
      </c>
      <c r="F1669" s="152" t="s">
        <v>772</v>
      </c>
      <c r="G1669" s="152" t="s">
        <v>965</v>
      </c>
      <c r="H1669" s="153">
        <v>92.63</v>
      </c>
      <c r="I1669" s="153">
        <v>0</v>
      </c>
      <c r="J1669" s="154">
        <f t="shared" si="48"/>
        <v>92.63</v>
      </c>
      <c r="M1669" s="52">
        <v>11240</v>
      </c>
    </row>
    <row r="1670" spans="2:13" ht="15" customHeight="1" x14ac:dyDescent="0.3">
      <c r="B1670" s="135">
        <v>16</v>
      </c>
      <c r="E1670" s="151">
        <v>9</v>
      </c>
      <c r="F1670" s="152" t="s">
        <v>676</v>
      </c>
      <c r="G1670" s="152" t="s">
        <v>966</v>
      </c>
      <c r="H1670" s="153">
        <v>53.37</v>
      </c>
      <c r="I1670" s="153">
        <v>0</v>
      </c>
      <c r="J1670" s="154">
        <f t="shared" si="48"/>
        <v>53.37</v>
      </c>
      <c r="M1670" s="52">
        <v>11242</v>
      </c>
    </row>
    <row r="1671" spans="2:13" ht="15" customHeight="1" x14ac:dyDescent="0.3">
      <c r="B1671" s="135">
        <v>16</v>
      </c>
      <c r="E1671" s="151">
        <v>9</v>
      </c>
      <c r="F1671" s="152" t="s">
        <v>772</v>
      </c>
      <c r="G1671" s="152" t="s">
        <v>967</v>
      </c>
      <c r="H1671" s="153">
        <v>71.459999999999994</v>
      </c>
      <c r="I1671" s="153">
        <v>0</v>
      </c>
      <c r="J1671" s="154">
        <f t="shared" si="48"/>
        <v>71.459999999999994</v>
      </c>
      <c r="M1671" s="52">
        <v>11243</v>
      </c>
    </row>
    <row r="1672" spans="2:13" ht="15" customHeight="1" x14ac:dyDescent="0.3">
      <c r="B1672" s="135">
        <v>16</v>
      </c>
      <c r="E1672" s="151">
        <v>9</v>
      </c>
      <c r="F1672" s="152" t="s">
        <v>772</v>
      </c>
      <c r="G1672" s="152" t="s">
        <v>968</v>
      </c>
      <c r="H1672" s="153">
        <v>243.94</v>
      </c>
      <c r="I1672" s="153">
        <v>0</v>
      </c>
      <c r="J1672" s="154">
        <f t="shared" si="48"/>
        <v>243.94</v>
      </c>
      <c r="M1672" s="52">
        <v>11245</v>
      </c>
    </row>
    <row r="1673" spans="2:13" ht="15" customHeight="1" x14ac:dyDescent="0.3">
      <c r="B1673" s="135">
        <v>16</v>
      </c>
      <c r="E1673" s="151">
        <v>9</v>
      </c>
      <c r="F1673" s="152" t="s">
        <v>772</v>
      </c>
      <c r="G1673" s="152" t="s">
        <v>969</v>
      </c>
      <c r="H1673" s="153">
        <v>19.010000000000002</v>
      </c>
      <c r="I1673" s="153">
        <v>0</v>
      </c>
      <c r="J1673" s="154">
        <f t="shared" si="48"/>
        <v>19.010000000000002</v>
      </c>
      <c r="M1673" s="52">
        <v>11250</v>
      </c>
    </row>
    <row r="1674" spans="2:13" ht="15" customHeight="1" x14ac:dyDescent="0.3">
      <c r="B1674" s="135">
        <v>16</v>
      </c>
      <c r="E1674" s="151">
        <v>9</v>
      </c>
      <c r="F1674" s="152" t="s">
        <v>772</v>
      </c>
      <c r="G1674" s="152" t="s">
        <v>970</v>
      </c>
      <c r="H1674" s="153">
        <v>465.22</v>
      </c>
      <c r="I1674" s="153">
        <v>0</v>
      </c>
      <c r="J1674" s="154">
        <f t="shared" si="48"/>
        <v>465.22</v>
      </c>
      <c r="M1674" s="52">
        <v>11251</v>
      </c>
    </row>
    <row r="1675" spans="2:13" ht="15" customHeight="1" x14ac:dyDescent="0.3">
      <c r="B1675" s="135">
        <v>16</v>
      </c>
      <c r="E1675" s="151">
        <v>9</v>
      </c>
      <c r="F1675" s="152" t="s">
        <v>786</v>
      </c>
      <c r="G1675" s="152" t="s">
        <v>787</v>
      </c>
      <c r="H1675" s="153">
        <v>15784.59</v>
      </c>
      <c r="I1675" s="153">
        <v>0</v>
      </c>
      <c r="J1675" s="154">
        <f t="shared" si="48"/>
        <v>15784.59</v>
      </c>
      <c r="M1675" s="52">
        <v>11254</v>
      </c>
    </row>
    <row r="1676" spans="2:13" ht="15" customHeight="1" x14ac:dyDescent="0.3">
      <c r="B1676" s="135">
        <v>16</v>
      </c>
      <c r="E1676" s="151">
        <v>9</v>
      </c>
      <c r="F1676" s="152" t="s">
        <v>772</v>
      </c>
      <c r="G1676" s="152" t="s">
        <v>971</v>
      </c>
      <c r="H1676" s="153">
        <v>160.51</v>
      </c>
      <c r="I1676" s="153">
        <v>0</v>
      </c>
      <c r="J1676" s="154">
        <f t="shared" si="48"/>
        <v>160.51</v>
      </c>
      <c r="M1676" s="52">
        <v>11255</v>
      </c>
    </row>
    <row r="1677" spans="2:13" ht="15" customHeight="1" x14ac:dyDescent="0.3">
      <c r="B1677" s="135">
        <v>16</v>
      </c>
      <c r="E1677" s="151">
        <v>9</v>
      </c>
      <c r="F1677" s="152" t="s">
        <v>772</v>
      </c>
      <c r="G1677" s="152" t="s">
        <v>972</v>
      </c>
      <c r="H1677" s="153">
        <v>498.98</v>
      </c>
      <c r="I1677" s="153">
        <v>0</v>
      </c>
      <c r="J1677" s="154">
        <f t="shared" si="48"/>
        <v>498.98</v>
      </c>
      <c r="M1677" s="52">
        <v>11256</v>
      </c>
    </row>
    <row r="1678" spans="2:13" ht="15" customHeight="1" x14ac:dyDescent="0.3">
      <c r="B1678" s="135">
        <v>16</v>
      </c>
      <c r="E1678" s="151">
        <v>9</v>
      </c>
      <c r="F1678" s="152" t="s">
        <v>772</v>
      </c>
      <c r="G1678" s="152" t="s">
        <v>972</v>
      </c>
      <c r="H1678" s="153">
        <v>498.98</v>
      </c>
      <c r="I1678" s="153">
        <v>0</v>
      </c>
      <c r="J1678" s="154">
        <f t="shared" si="48"/>
        <v>498.98</v>
      </c>
      <c r="M1678" s="52">
        <v>11257</v>
      </c>
    </row>
    <row r="1679" spans="2:13" ht="15" customHeight="1" x14ac:dyDescent="0.3">
      <c r="B1679" s="135">
        <v>16</v>
      </c>
      <c r="E1679" s="151">
        <v>9</v>
      </c>
      <c r="F1679" s="152" t="s">
        <v>772</v>
      </c>
      <c r="G1679" s="152" t="s">
        <v>973</v>
      </c>
      <c r="H1679" s="153">
        <v>137.08000000000001</v>
      </c>
      <c r="I1679" s="153">
        <v>0</v>
      </c>
      <c r="J1679" s="154">
        <f t="shared" si="48"/>
        <v>137.08000000000001</v>
      </c>
      <c r="M1679" s="52">
        <v>11259</v>
      </c>
    </row>
    <row r="1680" spans="2:13" ht="15" customHeight="1" x14ac:dyDescent="0.3">
      <c r="B1680" s="135">
        <v>16</v>
      </c>
      <c r="E1680" s="151">
        <v>9</v>
      </c>
      <c r="F1680" s="152" t="s">
        <v>772</v>
      </c>
      <c r="G1680" s="152" t="s">
        <v>973</v>
      </c>
      <c r="H1680" s="153">
        <v>228.46</v>
      </c>
      <c r="I1680" s="153">
        <v>0</v>
      </c>
      <c r="J1680" s="154">
        <f t="shared" si="48"/>
        <v>228.46</v>
      </c>
      <c r="M1680" s="52">
        <v>11260</v>
      </c>
    </row>
    <row r="1681" spans="2:13" ht="15" customHeight="1" x14ac:dyDescent="0.3">
      <c r="B1681" s="135">
        <v>16</v>
      </c>
      <c r="E1681" s="151">
        <v>9</v>
      </c>
      <c r="F1681" s="152" t="s">
        <v>772</v>
      </c>
      <c r="G1681" s="152" t="s">
        <v>974</v>
      </c>
      <c r="H1681" s="153">
        <v>899.95</v>
      </c>
      <c r="I1681" s="153">
        <v>0</v>
      </c>
      <c r="J1681" s="154">
        <f t="shared" si="48"/>
        <v>899.95</v>
      </c>
      <c r="M1681" s="52">
        <v>11261</v>
      </c>
    </row>
    <row r="1682" spans="2:13" ht="15" customHeight="1" x14ac:dyDescent="0.3">
      <c r="B1682" s="135">
        <v>16</v>
      </c>
      <c r="E1682" s="151">
        <v>9</v>
      </c>
      <c r="F1682" s="152" t="s">
        <v>772</v>
      </c>
      <c r="G1682" s="152" t="s">
        <v>975</v>
      </c>
      <c r="H1682" s="153">
        <v>2112.56</v>
      </c>
      <c r="I1682" s="153">
        <v>0</v>
      </c>
      <c r="J1682" s="154">
        <f t="shared" si="48"/>
        <v>2112.56</v>
      </c>
      <c r="M1682" s="52">
        <v>11265</v>
      </c>
    </row>
    <row r="1683" spans="2:13" ht="15" customHeight="1" x14ac:dyDescent="0.3">
      <c r="B1683" s="135">
        <v>16</v>
      </c>
      <c r="E1683" s="151">
        <v>9</v>
      </c>
      <c r="F1683" s="152" t="s">
        <v>786</v>
      </c>
      <c r="G1683" s="152" t="s">
        <v>976</v>
      </c>
      <c r="H1683" s="153">
        <v>562.47</v>
      </c>
      <c r="I1683" s="153">
        <v>0</v>
      </c>
      <c r="J1683" s="154">
        <f t="shared" si="48"/>
        <v>562.47</v>
      </c>
      <c r="M1683" s="52">
        <v>11266</v>
      </c>
    </row>
    <row r="1684" spans="2:13" ht="15" customHeight="1" x14ac:dyDescent="0.3">
      <c r="B1684" s="135">
        <v>16</v>
      </c>
      <c r="E1684" s="151">
        <v>9</v>
      </c>
      <c r="F1684" s="152" t="s">
        <v>786</v>
      </c>
      <c r="G1684" s="152" t="s">
        <v>977</v>
      </c>
      <c r="H1684" s="153">
        <v>381.6</v>
      </c>
      <c r="I1684" s="153">
        <v>0</v>
      </c>
      <c r="J1684" s="154">
        <f t="shared" si="48"/>
        <v>381.6</v>
      </c>
      <c r="M1684" s="52">
        <v>11267</v>
      </c>
    </row>
    <row r="1685" spans="2:13" ht="15" customHeight="1" x14ac:dyDescent="0.3">
      <c r="B1685" s="135">
        <v>16</v>
      </c>
      <c r="E1685" s="151">
        <v>9</v>
      </c>
      <c r="F1685" s="152" t="s">
        <v>978</v>
      </c>
      <c r="G1685" s="152" t="s">
        <v>821</v>
      </c>
      <c r="H1685" s="153">
        <v>28500</v>
      </c>
      <c r="I1685" s="153">
        <v>0</v>
      </c>
      <c r="J1685" s="154">
        <f t="shared" si="48"/>
        <v>28500</v>
      </c>
      <c r="M1685" s="52">
        <v>11285</v>
      </c>
    </row>
    <row r="1686" spans="2:13" ht="15" customHeight="1" x14ac:dyDescent="0.3">
      <c r="B1686" s="135">
        <v>16</v>
      </c>
      <c r="E1686" s="151">
        <v>9</v>
      </c>
      <c r="F1686" s="152" t="s">
        <v>779</v>
      </c>
      <c r="G1686" s="152" t="s">
        <v>821</v>
      </c>
      <c r="H1686" s="153">
        <v>1500</v>
      </c>
      <c r="I1686" s="153">
        <v>0</v>
      </c>
      <c r="J1686" s="154">
        <f t="shared" si="48"/>
        <v>1500</v>
      </c>
      <c r="M1686" s="52">
        <v>11285</v>
      </c>
    </row>
    <row r="1687" spans="2:13" ht="15" customHeight="1" x14ac:dyDescent="0.3">
      <c r="B1687" s="135">
        <v>16</v>
      </c>
      <c r="E1687" s="151">
        <v>9</v>
      </c>
      <c r="F1687" s="152" t="s">
        <v>779</v>
      </c>
      <c r="G1687" s="152" t="s">
        <v>821</v>
      </c>
      <c r="H1687" s="153">
        <v>15000</v>
      </c>
      <c r="I1687" s="153">
        <v>0</v>
      </c>
      <c r="J1687" s="154">
        <f t="shared" si="48"/>
        <v>15000</v>
      </c>
      <c r="M1687" s="52">
        <v>11285</v>
      </c>
    </row>
    <row r="1688" spans="2:13" ht="15" customHeight="1" x14ac:dyDescent="0.3">
      <c r="B1688" s="135">
        <v>16</v>
      </c>
      <c r="E1688" s="151">
        <v>9</v>
      </c>
      <c r="F1688" s="152" t="s">
        <v>676</v>
      </c>
      <c r="G1688" s="152" t="s">
        <v>979</v>
      </c>
      <c r="H1688" s="153">
        <v>70.72</v>
      </c>
      <c r="I1688" s="153">
        <v>0</v>
      </c>
      <c r="J1688" s="154">
        <f t="shared" si="48"/>
        <v>70.72</v>
      </c>
      <c r="M1688" s="52">
        <v>11287</v>
      </c>
    </row>
    <row r="1689" spans="2:13" ht="15" customHeight="1" x14ac:dyDescent="0.3">
      <c r="B1689" s="135">
        <v>16</v>
      </c>
      <c r="E1689" s="151">
        <v>9</v>
      </c>
      <c r="F1689" s="152" t="s">
        <v>786</v>
      </c>
      <c r="G1689" s="152" t="s">
        <v>980</v>
      </c>
      <c r="H1689" s="153">
        <v>269.37</v>
      </c>
      <c r="I1689" s="153">
        <v>0</v>
      </c>
      <c r="J1689" s="154">
        <f t="shared" si="48"/>
        <v>269.37</v>
      </c>
      <c r="M1689" s="52">
        <v>12169</v>
      </c>
    </row>
    <row r="1690" spans="2:13" ht="15" customHeight="1" x14ac:dyDescent="0.3">
      <c r="B1690" s="135">
        <v>16</v>
      </c>
      <c r="E1690" s="151">
        <v>9</v>
      </c>
      <c r="F1690" s="152" t="s">
        <v>981</v>
      </c>
      <c r="G1690" s="152" t="s">
        <v>982</v>
      </c>
      <c r="H1690" s="153">
        <v>2960.47</v>
      </c>
      <c r="I1690" s="153">
        <v>0</v>
      </c>
      <c r="J1690" s="154">
        <f t="shared" si="48"/>
        <v>2960.47</v>
      </c>
      <c r="M1690" s="52">
        <v>12194</v>
      </c>
    </row>
    <row r="1691" spans="2:13" ht="15" customHeight="1" x14ac:dyDescent="0.3">
      <c r="B1691" s="135">
        <v>16</v>
      </c>
      <c r="E1691" s="151">
        <v>9</v>
      </c>
      <c r="F1691" s="152" t="s">
        <v>786</v>
      </c>
      <c r="G1691" s="152" t="s">
        <v>983</v>
      </c>
      <c r="H1691" s="153">
        <v>707.53</v>
      </c>
      <c r="I1691" s="153">
        <v>0</v>
      </c>
      <c r="J1691" s="154">
        <f t="shared" si="48"/>
        <v>707.53</v>
      </c>
      <c r="M1691" s="52">
        <v>12195</v>
      </c>
    </row>
    <row r="1692" spans="2:13" ht="15" customHeight="1" x14ac:dyDescent="0.3">
      <c r="B1692" s="135">
        <v>16</v>
      </c>
      <c r="E1692" s="151">
        <v>9</v>
      </c>
      <c r="F1692" s="152" t="s">
        <v>815</v>
      </c>
      <c r="G1692" s="152" t="s">
        <v>984</v>
      </c>
      <c r="H1692" s="153">
        <v>92.64</v>
      </c>
      <c r="I1692" s="153">
        <v>0</v>
      </c>
      <c r="J1692" s="154">
        <f t="shared" si="48"/>
        <v>92.64</v>
      </c>
      <c r="M1692" s="52">
        <v>12197</v>
      </c>
    </row>
    <row r="1693" spans="2:13" ht="15" customHeight="1" x14ac:dyDescent="0.3">
      <c r="B1693" s="135">
        <v>16</v>
      </c>
      <c r="E1693" s="151">
        <v>9</v>
      </c>
      <c r="F1693" s="152" t="s">
        <v>772</v>
      </c>
      <c r="G1693" s="152" t="s">
        <v>985</v>
      </c>
      <c r="H1693" s="153">
        <v>383.19</v>
      </c>
      <c r="I1693" s="153">
        <v>0</v>
      </c>
      <c r="J1693" s="154">
        <f t="shared" si="48"/>
        <v>383.19</v>
      </c>
      <c r="M1693" s="52">
        <v>12199</v>
      </c>
    </row>
    <row r="1694" spans="2:13" ht="15" customHeight="1" x14ac:dyDescent="0.3">
      <c r="B1694" s="135">
        <v>16</v>
      </c>
      <c r="E1694" s="151">
        <v>9</v>
      </c>
      <c r="F1694" s="152" t="s">
        <v>874</v>
      </c>
      <c r="G1694" s="152" t="s">
        <v>986</v>
      </c>
      <c r="H1694" s="153">
        <v>198.39</v>
      </c>
      <c r="I1694" s="153">
        <v>0</v>
      </c>
      <c r="J1694" s="154">
        <f t="shared" si="48"/>
        <v>198.39</v>
      </c>
      <c r="M1694" s="52">
        <v>12201</v>
      </c>
    </row>
    <row r="1695" spans="2:13" ht="15" customHeight="1" x14ac:dyDescent="0.3">
      <c r="B1695" s="135">
        <v>16</v>
      </c>
      <c r="E1695" s="151">
        <v>9</v>
      </c>
      <c r="F1695" s="152" t="s">
        <v>772</v>
      </c>
      <c r="G1695" s="152" t="s">
        <v>987</v>
      </c>
      <c r="H1695" s="153">
        <v>622.5</v>
      </c>
      <c r="I1695" s="153">
        <v>0</v>
      </c>
      <c r="J1695" s="154">
        <f t="shared" si="48"/>
        <v>622.5</v>
      </c>
      <c r="M1695" s="52">
        <v>12202</v>
      </c>
    </row>
    <row r="1696" spans="2:13" ht="15" customHeight="1" x14ac:dyDescent="0.3">
      <c r="B1696" s="135">
        <v>16</v>
      </c>
      <c r="E1696" s="151">
        <v>9</v>
      </c>
      <c r="F1696" s="152" t="s">
        <v>786</v>
      </c>
      <c r="G1696" s="152" t="s">
        <v>988</v>
      </c>
      <c r="H1696" s="153">
        <v>115.89</v>
      </c>
      <c r="I1696" s="153">
        <v>0</v>
      </c>
      <c r="J1696" s="154">
        <f t="shared" si="48"/>
        <v>115.89</v>
      </c>
      <c r="M1696" s="52" t="s">
        <v>575</v>
      </c>
    </row>
    <row r="1697" spans="2:13" ht="15" customHeight="1" x14ac:dyDescent="0.3">
      <c r="B1697" s="135">
        <v>16</v>
      </c>
      <c r="E1697" s="151">
        <v>9</v>
      </c>
      <c r="F1697" s="152" t="s">
        <v>772</v>
      </c>
      <c r="G1697" s="152" t="s">
        <v>989</v>
      </c>
      <c r="H1697" s="153">
        <v>356.36</v>
      </c>
      <c r="I1697" s="153">
        <v>0</v>
      </c>
      <c r="J1697" s="154">
        <f t="shared" si="48"/>
        <v>356.36</v>
      </c>
      <c r="M1697" s="52" t="s">
        <v>575</v>
      </c>
    </row>
    <row r="1698" spans="2:13" ht="15" customHeight="1" x14ac:dyDescent="0.3">
      <c r="B1698" s="135">
        <v>16</v>
      </c>
      <c r="E1698" s="151">
        <v>9</v>
      </c>
      <c r="F1698" s="152" t="s">
        <v>772</v>
      </c>
      <c r="G1698" s="152" t="s">
        <v>990</v>
      </c>
      <c r="H1698" s="153">
        <v>775.69</v>
      </c>
      <c r="I1698" s="153">
        <v>0</v>
      </c>
      <c r="J1698" s="154">
        <f t="shared" si="48"/>
        <v>775.69</v>
      </c>
      <c r="M1698" s="52" t="s">
        <v>575</v>
      </c>
    </row>
    <row r="1699" spans="2:13" ht="15" customHeight="1" x14ac:dyDescent="0.3">
      <c r="B1699" s="135">
        <v>16</v>
      </c>
      <c r="E1699" s="151">
        <v>9</v>
      </c>
      <c r="F1699" s="152" t="s">
        <v>772</v>
      </c>
      <c r="G1699" s="152" t="s">
        <v>989</v>
      </c>
      <c r="H1699" s="153">
        <v>1241.94</v>
      </c>
      <c r="I1699" s="153">
        <v>0</v>
      </c>
      <c r="J1699" s="154">
        <f t="shared" si="48"/>
        <v>1241.94</v>
      </c>
      <c r="M1699" s="52" t="s">
        <v>575</v>
      </c>
    </row>
    <row r="1700" spans="2:13" ht="15" customHeight="1" x14ac:dyDescent="0.3">
      <c r="B1700" s="135">
        <v>16</v>
      </c>
      <c r="E1700" s="151">
        <v>9</v>
      </c>
      <c r="F1700" s="152" t="s">
        <v>772</v>
      </c>
      <c r="G1700" s="152" t="s">
        <v>989</v>
      </c>
      <c r="H1700" s="153">
        <v>1628.06</v>
      </c>
      <c r="I1700" s="153">
        <v>0</v>
      </c>
      <c r="J1700" s="154">
        <f t="shared" si="48"/>
        <v>1628.06</v>
      </c>
      <c r="M1700" s="52" t="s">
        <v>575</v>
      </c>
    </row>
    <row r="1701" spans="2:13" ht="15" customHeight="1" x14ac:dyDescent="0.3">
      <c r="B1701" s="135">
        <v>16</v>
      </c>
      <c r="E1701" s="151">
        <v>9</v>
      </c>
      <c r="F1701" s="152" t="s">
        <v>772</v>
      </c>
      <c r="G1701" s="152" t="s">
        <v>989</v>
      </c>
      <c r="H1701" s="153">
        <v>-1241.94</v>
      </c>
      <c r="I1701" s="153">
        <v>0</v>
      </c>
      <c r="J1701" s="154">
        <f t="shared" si="48"/>
        <v>-1241.94</v>
      </c>
      <c r="M1701" s="52" t="s">
        <v>575</v>
      </c>
    </row>
    <row r="1702" spans="2:13" ht="15" customHeight="1" x14ac:dyDescent="0.3">
      <c r="B1702" s="135">
        <v>16</v>
      </c>
      <c r="E1702" s="151">
        <v>9</v>
      </c>
      <c r="F1702" s="152" t="s">
        <v>772</v>
      </c>
      <c r="G1702" s="152" t="s">
        <v>990</v>
      </c>
      <c r="H1702" s="153">
        <v>530.96</v>
      </c>
      <c r="I1702" s="153">
        <v>0</v>
      </c>
      <c r="J1702" s="154">
        <f t="shared" si="48"/>
        <v>530.96</v>
      </c>
      <c r="M1702" s="52" t="s">
        <v>575</v>
      </c>
    </row>
    <row r="1703" spans="2:13" ht="15" customHeight="1" x14ac:dyDescent="0.3">
      <c r="B1703" s="135">
        <v>16</v>
      </c>
      <c r="E1703" s="151">
        <v>9</v>
      </c>
      <c r="F1703" s="152" t="s">
        <v>772</v>
      </c>
      <c r="G1703" s="152" t="s">
        <v>989</v>
      </c>
      <c r="H1703" s="153">
        <v>332.54</v>
      </c>
      <c r="I1703" s="153">
        <v>0</v>
      </c>
      <c r="J1703" s="154">
        <f t="shared" si="48"/>
        <v>332.54</v>
      </c>
      <c r="M1703" s="52" t="s">
        <v>575</v>
      </c>
    </row>
    <row r="1704" spans="2:13" ht="15" customHeight="1" x14ac:dyDescent="0.3">
      <c r="B1704" s="135">
        <v>16</v>
      </c>
      <c r="E1704" s="151">
        <v>9</v>
      </c>
      <c r="F1704" s="152" t="s">
        <v>772</v>
      </c>
      <c r="G1704" s="152" t="s">
        <v>989</v>
      </c>
      <c r="H1704" s="153">
        <v>332.54</v>
      </c>
      <c r="I1704" s="153">
        <v>0</v>
      </c>
      <c r="J1704" s="154">
        <f t="shared" si="48"/>
        <v>332.54</v>
      </c>
      <c r="M1704" s="52" t="s">
        <v>575</v>
      </c>
    </row>
    <row r="1705" spans="2:13" ht="15" customHeight="1" x14ac:dyDescent="0.3">
      <c r="B1705" s="135">
        <v>16</v>
      </c>
      <c r="E1705" s="151">
        <v>9</v>
      </c>
      <c r="F1705" s="152" t="s">
        <v>772</v>
      </c>
      <c r="G1705" s="152" t="s">
        <v>989</v>
      </c>
      <c r="H1705" s="153">
        <v>2704.41</v>
      </c>
      <c r="I1705" s="153">
        <v>0</v>
      </c>
      <c r="J1705" s="154">
        <f t="shared" si="48"/>
        <v>2704.41</v>
      </c>
      <c r="M1705" s="52" t="s">
        <v>575</v>
      </c>
    </row>
    <row r="1706" spans="2:13" ht="15" customHeight="1" x14ac:dyDescent="0.3">
      <c r="B1706" s="135">
        <v>16</v>
      </c>
      <c r="E1706" s="151">
        <v>9</v>
      </c>
      <c r="F1706" s="152" t="s">
        <v>772</v>
      </c>
      <c r="G1706" s="152" t="s">
        <v>785</v>
      </c>
      <c r="H1706" s="153">
        <v>339.65</v>
      </c>
      <c r="I1706" s="153">
        <v>0</v>
      </c>
      <c r="J1706" s="154">
        <f t="shared" si="48"/>
        <v>339.65</v>
      </c>
      <c r="M1706" s="52" t="s">
        <v>575</v>
      </c>
    </row>
    <row r="1707" spans="2:13" ht="15" customHeight="1" x14ac:dyDescent="0.3">
      <c r="B1707" s="135">
        <v>16</v>
      </c>
      <c r="E1707" s="151">
        <v>10</v>
      </c>
      <c r="F1707" s="152" t="s">
        <v>884</v>
      </c>
      <c r="G1707" s="152" t="s">
        <v>991</v>
      </c>
      <c r="H1707" s="153">
        <v>82.67</v>
      </c>
      <c r="I1707" s="153">
        <v>0</v>
      </c>
      <c r="J1707" s="154">
        <f t="shared" si="48"/>
        <v>82.67</v>
      </c>
      <c r="M1707" s="52">
        <v>11228</v>
      </c>
    </row>
    <row r="1708" spans="2:13" ht="15" customHeight="1" x14ac:dyDescent="0.3">
      <c r="B1708" s="135">
        <v>16</v>
      </c>
      <c r="E1708" s="151">
        <v>10</v>
      </c>
      <c r="F1708" s="152" t="s">
        <v>992</v>
      </c>
      <c r="G1708" s="152" t="s">
        <v>993</v>
      </c>
      <c r="H1708" s="153">
        <v>4847.47</v>
      </c>
      <c r="I1708" s="153">
        <v>0</v>
      </c>
      <c r="J1708" s="154">
        <f t="shared" si="48"/>
        <v>4847.47</v>
      </c>
      <c r="M1708" s="52">
        <v>11246</v>
      </c>
    </row>
    <row r="1709" spans="2:13" ht="15" customHeight="1" x14ac:dyDescent="0.3">
      <c r="B1709" s="135">
        <v>16</v>
      </c>
      <c r="E1709" s="151">
        <v>10</v>
      </c>
      <c r="F1709" s="152" t="s">
        <v>884</v>
      </c>
      <c r="G1709" s="152" t="s">
        <v>994</v>
      </c>
      <c r="H1709" s="153">
        <v>194.96</v>
      </c>
      <c r="I1709" s="153">
        <v>0</v>
      </c>
      <c r="J1709" s="154">
        <f t="shared" si="48"/>
        <v>194.96</v>
      </c>
      <c r="M1709" s="52">
        <v>11247</v>
      </c>
    </row>
    <row r="1710" spans="2:13" ht="15" customHeight="1" x14ac:dyDescent="0.3">
      <c r="B1710" s="135">
        <v>16</v>
      </c>
      <c r="E1710" s="151">
        <v>10</v>
      </c>
      <c r="F1710" s="152" t="s">
        <v>790</v>
      </c>
      <c r="G1710" s="152" t="s">
        <v>369</v>
      </c>
      <c r="H1710" s="153">
        <v>5306.72</v>
      </c>
      <c r="I1710" s="153">
        <v>0</v>
      </c>
      <c r="J1710" s="154">
        <f t="shared" si="48"/>
        <v>5306.72</v>
      </c>
      <c r="M1710" s="52">
        <v>11271</v>
      </c>
    </row>
    <row r="1711" spans="2:13" ht="15" customHeight="1" x14ac:dyDescent="0.3">
      <c r="B1711" s="135">
        <v>16</v>
      </c>
      <c r="E1711" s="151">
        <v>10</v>
      </c>
      <c r="F1711" s="152" t="s">
        <v>884</v>
      </c>
      <c r="G1711" s="152" t="s">
        <v>995</v>
      </c>
      <c r="H1711" s="153">
        <v>278.51</v>
      </c>
      <c r="I1711" s="153">
        <v>0</v>
      </c>
      <c r="J1711" s="154">
        <f t="shared" si="48"/>
        <v>278.51</v>
      </c>
      <c r="M1711" s="52">
        <v>12198</v>
      </c>
    </row>
    <row r="1712" spans="2:13" ht="15" customHeight="1" x14ac:dyDescent="0.3">
      <c r="B1712" s="135">
        <v>16</v>
      </c>
      <c r="E1712" s="151">
        <v>10</v>
      </c>
      <c r="F1712" s="152" t="s">
        <v>996</v>
      </c>
      <c r="G1712" s="152" t="s">
        <v>997</v>
      </c>
      <c r="H1712" s="153">
        <v>533</v>
      </c>
      <c r="I1712" s="153">
        <v>0</v>
      </c>
      <c r="J1712" s="154">
        <f t="shared" si="48"/>
        <v>533</v>
      </c>
      <c r="M1712" s="52" t="s">
        <v>575</v>
      </c>
    </row>
    <row r="1713" spans="2:13" ht="15" customHeight="1" x14ac:dyDescent="0.3">
      <c r="B1713" s="135">
        <v>16</v>
      </c>
      <c r="E1713" s="151">
        <v>11</v>
      </c>
      <c r="F1713" s="152" t="s">
        <v>905</v>
      </c>
      <c r="G1713" s="152" t="s">
        <v>998</v>
      </c>
      <c r="H1713" s="153">
        <v>11.4</v>
      </c>
      <c r="I1713" s="153">
        <v>0</v>
      </c>
      <c r="J1713" s="154">
        <f t="shared" si="48"/>
        <v>11.4</v>
      </c>
      <c r="M1713" s="52">
        <v>11227</v>
      </c>
    </row>
    <row r="1714" spans="2:13" ht="15" customHeight="1" x14ac:dyDescent="0.3">
      <c r="B1714" s="135">
        <v>16</v>
      </c>
      <c r="E1714" s="151">
        <v>11</v>
      </c>
      <c r="F1714" s="152" t="s">
        <v>905</v>
      </c>
      <c r="G1714" s="152" t="s">
        <v>999</v>
      </c>
      <c r="H1714" s="153">
        <v>684.43</v>
      </c>
      <c r="I1714" s="153">
        <v>0</v>
      </c>
      <c r="J1714" s="154">
        <f t="shared" si="48"/>
        <v>684.43</v>
      </c>
      <c r="M1714" s="52">
        <v>11241</v>
      </c>
    </row>
    <row r="1715" spans="2:13" ht="15" customHeight="1" x14ac:dyDescent="0.3">
      <c r="B1715" s="135">
        <v>16</v>
      </c>
      <c r="E1715" s="151">
        <v>11</v>
      </c>
      <c r="F1715" s="152" t="s">
        <v>905</v>
      </c>
      <c r="G1715" s="152" t="s">
        <v>1000</v>
      </c>
      <c r="H1715" s="153">
        <v>122.8</v>
      </c>
      <c r="I1715" s="153">
        <v>0</v>
      </c>
      <c r="J1715" s="154">
        <f t="shared" si="48"/>
        <v>122.8</v>
      </c>
      <c r="M1715" s="52">
        <v>11244</v>
      </c>
    </row>
    <row r="1716" spans="2:13" ht="15" customHeight="1" x14ac:dyDescent="0.3">
      <c r="B1716" s="135">
        <v>16</v>
      </c>
      <c r="E1716" s="151">
        <v>11</v>
      </c>
      <c r="F1716" s="152" t="s">
        <v>905</v>
      </c>
      <c r="G1716" s="152" t="s">
        <v>1001</v>
      </c>
      <c r="H1716" s="153">
        <v>106.49</v>
      </c>
      <c r="I1716" s="153">
        <v>0</v>
      </c>
      <c r="J1716" s="154">
        <f t="shared" si="48"/>
        <v>106.49</v>
      </c>
      <c r="M1716" s="52">
        <v>11268</v>
      </c>
    </row>
    <row r="1717" spans="2:13" ht="15" customHeight="1" x14ac:dyDescent="0.3">
      <c r="B1717" s="135">
        <v>16</v>
      </c>
      <c r="E1717" s="151">
        <v>11</v>
      </c>
      <c r="F1717" s="152" t="s">
        <v>1002</v>
      </c>
      <c r="G1717" s="152" t="s">
        <v>1003</v>
      </c>
      <c r="H1717" s="153">
        <v>1485.03</v>
      </c>
      <c r="I1717" s="153">
        <v>0</v>
      </c>
      <c r="J1717" s="154">
        <f t="shared" si="48"/>
        <v>1485.03</v>
      </c>
      <c r="M1717" s="52" t="s">
        <v>575</v>
      </c>
    </row>
    <row r="1718" spans="2:13" ht="15" customHeight="1" x14ac:dyDescent="0.3">
      <c r="B1718" s="135">
        <v>16</v>
      </c>
      <c r="E1718" s="151">
        <v>12</v>
      </c>
      <c r="F1718" s="152" t="s">
        <v>948</v>
      </c>
      <c r="G1718" s="152" t="s">
        <v>1035</v>
      </c>
      <c r="H1718" s="153">
        <v>11769.86</v>
      </c>
      <c r="I1718" s="153">
        <v>0</v>
      </c>
      <c r="J1718" s="154">
        <f t="shared" si="48"/>
        <v>11769.86</v>
      </c>
      <c r="M1718" s="52">
        <v>10857</v>
      </c>
    </row>
    <row r="1719" spans="2:13" ht="15" customHeight="1" x14ac:dyDescent="0.3">
      <c r="B1719" s="135">
        <v>16</v>
      </c>
      <c r="E1719" s="151">
        <v>12</v>
      </c>
      <c r="F1719" s="152" t="s">
        <v>692</v>
      </c>
      <c r="G1719" s="152" t="s">
        <v>1004</v>
      </c>
      <c r="H1719" s="153">
        <v>25651.288888888888</v>
      </c>
      <c r="I1719" s="153">
        <v>2565.1288888888889</v>
      </c>
      <c r="J1719" s="154">
        <f t="shared" si="48"/>
        <v>23086.16</v>
      </c>
      <c r="M1719" s="52">
        <v>12176</v>
      </c>
    </row>
    <row r="1720" spans="2:13" ht="15" customHeight="1" x14ac:dyDescent="0.3">
      <c r="B1720" s="135">
        <v>16</v>
      </c>
      <c r="E1720" s="151">
        <v>12</v>
      </c>
      <c r="F1720" s="152" t="s">
        <v>738</v>
      </c>
      <c r="G1720" s="152" t="s">
        <v>1034</v>
      </c>
      <c r="H1720" s="153">
        <v>3495.7200000000003</v>
      </c>
      <c r="I1720" s="153">
        <v>0</v>
      </c>
      <c r="J1720" s="154">
        <f t="shared" si="48"/>
        <v>3495.7200000000003</v>
      </c>
      <c r="M1720" s="158">
        <v>12190</v>
      </c>
    </row>
    <row r="1721" spans="2:13" ht="15" customHeight="1" x14ac:dyDescent="0.3">
      <c r="B1721" s="135">
        <v>16</v>
      </c>
      <c r="E1721" s="151">
        <v>12</v>
      </c>
      <c r="F1721" s="152" t="s">
        <v>1005</v>
      </c>
      <c r="G1721" s="152" t="s">
        <v>931</v>
      </c>
      <c r="H1721" s="153">
        <v>204.95</v>
      </c>
      <c r="I1721" s="153">
        <v>0</v>
      </c>
      <c r="J1721" s="154">
        <f t="shared" si="48"/>
        <v>204.95</v>
      </c>
      <c r="M1721" s="52" t="s">
        <v>575</v>
      </c>
    </row>
    <row r="1722" spans="2:13" ht="15" customHeight="1" x14ac:dyDescent="0.3">
      <c r="B1722" s="135">
        <v>16</v>
      </c>
      <c r="E1722" s="151">
        <v>15</v>
      </c>
      <c r="F1722" s="152" t="s">
        <v>1006</v>
      </c>
      <c r="G1722" s="152" t="s">
        <v>931</v>
      </c>
      <c r="H1722" s="153">
        <v>649.48</v>
      </c>
      <c r="I1722" s="153">
        <v>0</v>
      </c>
      <c r="J1722" s="154">
        <f t="shared" si="48"/>
        <v>649.48</v>
      </c>
      <c r="M1722" s="52">
        <v>12175</v>
      </c>
    </row>
    <row r="1723" spans="2:13" ht="15" customHeight="1" x14ac:dyDescent="0.3">
      <c r="B1723" s="135">
        <v>16</v>
      </c>
      <c r="E1723" s="151">
        <v>16</v>
      </c>
      <c r="F1723" s="152" t="s">
        <v>275</v>
      </c>
      <c r="G1723" s="152" t="s">
        <v>1007</v>
      </c>
      <c r="H1723" s="153">
        <v>213.58</v>
      </c>
      <c r="I1723" s="153">
        <v>0</v>
      </c>
      <c r="J1723" s="154">
        <f t="shared" si="48"/>
        <v>213.58</v>
      </c>
      <c r="M1723" s="52">
        <v>11234</v>
      </c>
    </row>
    <row r="1724" spans="2:13" ht="15" customHeight="1" x14ac:dyDescent="0.3">
      <c r="B1724" s="135">
        <v>16</v>
      </c>
      <c r="E1724" s="151">
        <v>16</v>
      </c>
      <c r="F1724" s="152" t="s">
        <v>1008</v>
      </c>
      <c r="G1724" s="152" t="s">
        <v>940</v>
      </c>
      <c r="H1724" s="153">
        <v>720</v>
      </c>
      <c r="I1724" s="153">
        <v>0</v>
      </c>
      <c r="J1724" s="154">
        <f t="shared" si="48"/>
        <v>720</v>
      </c>
      <c r="M1724" s="52">
        <v>11273</v>
      </c>
    </row>
    <row r="1725" spans="2:13" ht="15" customHeight="1" x14ac:dyDescent="0.3">
      <c r="B1725" s="135">
        <v>16</v>
      </c>
      <c r="E1725" s="151">
        <v>16</v>
      </c>
      <c r="F1725" s="152" t="s">
        <v>275</v>
      </c>
      <c r="G1725" s="152" t="s">
        <v>1009</v>
      </c>
      <c r="H1725" s="153">
        <v>148.41999999999999</v>
      </c>
      <c r="I1725" s="153">
        <v>0</v>
      </c>
      <c r="J1725" s="154">
        <f t="shared" si="48"/>
        <v>148.41999999999999</v>
      </c>
      <c r="M1725" s="52">
        <v>11282</v>
      </c>
    </row>
    <row r="1726" spans="2:13" ht="15" customHeight="1" x14ac:dyDescent="0.3">
      <c r="B1726" s="135">
        <v>16</v>
      </c>
      <c r="E1726" s="151">
        <v>16</v>
      </c>
      <c r="F1726" s="152" t="s">
        <v>1010</v>
      </c>
      <c r="G1726" s="152" t="s">
        <v>1011</v>
      </c>
      <c r="H1726" s="153">
        <v>5003.22</v>
      </c>
      <c r="I1726" s="153">
        <v>0</v>
      </c>
      <c r="J1726" s="154">
        <f t="shared" si="48"/>
        <v>5003.22</v>
      </c>
      <c r="M1726" s="52">
        <v>11284</v>
      </c>
    </row>
    <row r="1727" spans="2:13" ht="15" customHeight="1" x14ac:dyDescent="0.3">
      <c r="B1727" s="135">
        <v>16</v>
      </c>
      <c r="E1727" s="151">
        <v>17</v>
      </c>
      <c r="F1727" s="152" t="s">
        <v>332</v>
      </c>
      <c r="G1727" s="152" t="s">
        <v>334</v>
      </c>
      <c r="H1727" s="153">
        <v>3454.07</v>
      </c>
      <c r="I1727" s="153">
        <v>0</v>
      </c>
      <c r="J1727" s="154">
        <f t="shared" si="48"/>
        <v>3454.07</v>
      </c>
      <c r="M1727" s="52" t="s">
        <v>575</v>
      </c>
    </row>
    <row r="1728" spans="2:13" ht="15" customHeight="1" x14ac:dyDescent="0.3">
      <c r="B1728" s="135">
        <v>16</v>
      </c>
      <c r="E1728" s="151">
        <v>17</v>
      </c>
      <c r="F1728" s="152" t="s">
        <v>332</v>
      </c>
      <c r="G1728" s="152" t="s">
        <v>334</v>
      </c>
      <c r="H1728" s="153">
        <v>3454.07</v>
      </c>
      <c r="I1728" s="153">
        <v>0</v>
      </c>
      <c r="J1728" s="154">
        <f t="shared" si="48"/>
        <v>3454.07</v>
      </c>
      <c r="M1728" s="52" t="s">
        <v>575</v>
      </c>
    </row>
    <row r="1729" spans="2:13" ht="15" customHeight="1" x14ac:dyDescent="0.3">
      <c r="B1729" s="135">
        <v>16</v>
      </c>
      <c r="E1729" s="151">
        <v>17</v>
      </c>
      <c r="F1729" s="152" t="s">
        <v>332</v>
      </c>
      <c r="G1729" s="152" t="s">
        <v>334</v>
      </c>
      <c r="H1729" s="153">
        <v>3454.23</v>
      </c>
      <c r="I1729" s="153">
        <v>0</v>
      </c>
      <c r="J1729" s="154">
        <f t="shared" si="48"/>
        <v>3454.23</v>
      </c>
      <c r="M1729" s="52" t="s">
        <v>575</v>
      </c>
    </row>
    <row r="1730" spans="2:13" ht="15" customHeight="1" x14ac:dyDescent="0.3">
      <c r="B1730" s="135">
        <v>16</v>
      </c>
      <c r="E1730" s="151">
        <v>17</v>
      </c>
      <c r="F1730" s="152" t="s">
        <v>209</v>
      </c>
      <c r="G1730" s="152" t="s">
        <v>922</v>
      </c>
      <c r="H1730" s="153">
        <v>170.23</v>
      </c>
      <c r="I1730" s="153">
        <v>0</v>
      </c>
      <c r="J1730" s="154">
        <f t="shared" si="48"/>
        <v>170.23</v>
      </c>
      <c r="M1730" s="52" t="s">
        <v>575</v>
      </c>
    </row>
    <row r="1731" spans="2:13" ht="15" customHeight="1" x14ac:dyDescent="0.3">
      <c r="B1731" s="135">
        <v>16</v>
      </c>
      <c r="E1731" s="151">
        <v>17</v>
      </c>
      <c r="F1731" s="152" t="s">
        <v>921</v>
      </c>
      <c r="G1731" s="152" t="s">
        <v>799</v>
      </c>
      <c r="H1731" s="153">
        <v>3893.43</v>
      </c>
      <c r="I1731" s="153">
        <v>0</v>
      </c>
      <c r="J1731" s="154">
        <f t="shared" si="48"/>
        <v>3893.43</v>
      </c>
      <c r="M1731" s="52" t="s">
        <v>575</v>
      </c>
    </row>
    <row r="1732" spans="2:13" ht="15" customHeight="1" x14ac:dyDescent="0.3">
      <c r="B1732" s="135">
        <v>16</v>
      </c>
      <c r="E1732" s="151">
        <v>17</v>
      </c>
      <c r="F1732" s="152" t="s">
        <v>921</v>
      </c>
      <c r="G1732" s="152" t="s">
        <v>799</v>
      </c>
      <c r="H1732" s="153">
        <v>3893.43</v>
      </c>
      <c r="I1732" s="153">
        <v>0</v>
      </c>
      <c r="J1732" s="154">
        <f t="shared" si="48"/>
        <v>3893.43</v>
      </c>
      <c r="M1732" s="52" t="s">
        <v>575</v>
      </c>
    </row>
    <row r="1733" spans="2:13" ht="15" customHeight="1" x14ac:dyDescent="0.3">
      <c r="B1733" s="135">
        <v>16</v>
      </c>
      <c r="E1733" s="151">
        <v>1</v>
      </c>
      <c r="F1733" s="152" t="s">
        <v>261</v>
      </c>
      <c r="G1733" s="152" t="s">
        <v>1012</v>
      </c>
      <c r="H1733" s="153">
        <v>10000</v>
      </c>
      <c r="I1733" s="153">
        <v>0</v>
      </c>
      <c r="J1733" s="154">
        <f t="shared" ref="J1733:J1750" si="49">H1733-I1733</f>
        <v>10000</v>
      </c>
      <c r="M1733" s="52" t="s">
        <v>535</v>
      </c>
    </row>
    <row r="1734" spans="2:13" ht="15" customHeight="1" x14ac:dyDescent="0.3">
      <c r="B1734" s="135">
        <v>16</v>
      </c>
      <c r="E1734" s="151">
        <v>3</v>
      </c>
      <c r="F1734" s="152" t="s">
        <v>1013</v>
      </c>
      <c r="G1734" s="152" t="s">
        <v>1014</v>
      </c>
      <c r="H1734" s="153">
        <v>855</v>
      </c>
      <c r="I1734" s="153">
        <v>0</v>
      </c>
      <c r="J1734" s="154">
        <f t="shared" si="49"/>
        <v>855</v>
      </c>
      <c r="M1734" s="52">
        <v>12179</v>
      </c>
    </row>
    <row r="1735" spans="2:13" ht="15" customHeight="1" x14ac:dyDescent="0.3">
      <c r="B1735" s="135">
        <v>16</v>
      </c>
      <c r="E1735" s="151">
        <v>3</v>
      </c>
      <c r="F1735" s="152" t="s">
        <v>1015</v>
      </c>
      <c r="G1735" s="152" t="s">
        <v>1016</v>
      </c>
      <c r="H1735" s="153">
        <v>7500</v>
      </c>
      <c r="I1735" s="153">
        <v>750</v>
      </c>
      <c r="J1735" s="154">
        <f t="shared" si="49"/>
        <v>6750</v>
      </c>
      <c r="M1735" s="52">
        <v>12181</v>
      </c>
    </row>
    <row r="1736" spans="2:13" ht="15" customHeight="1" x14ac:dyDescent="0.3">
      <c r="B1736" s="135">
        <v>16</v>
      </c>
      <c r="E1736" s="151">
        <v>3</v>
      </c>
      <c r="F1736" s="152" t="s">
        <v>1017</v>
      </c>
      <c r="G1736" s="152" t="s">
        <v>1018</v>
      </c>
      <c r="H1736" s="153">
        <v>20500</v>
      </c>
      <c r="I1736" s="153">
        <v>0</v>
      </c>
      <c r="J1736" s="154">
        <f t="shared" si="49"/>
        <v>20500</v>
      </c>
      <c r="M1736" s="52">
        <v>12185</v>
      </c>
    </row>
    <row r="1737" spans="2:13" ht="15" customHeight="1" x14ac:dyDescent="0.3">
      <c r="B1737" s="135">
        <v>16</v>
      </c>
      <c r="E1737" s="151">
        <v>7</v>
      </c>
      <c r="F1737" s="152" t="s">
        <v>859</v>
      </c>
      <c r="G1737" s="152" t="s">
        <v>1019</v>
      </c>
      <c r="H1737" s="153">
        <v>27483</v>
      </c>
      <c r="I1737" s="153">
        <v>600</v>
      </c>
      <c r="J1737" s="154">
        <f t="shared" si="49"/>
        <v>26883</v>
      </c>
      <c r="M1737" s="52">
        <v>12188</v>
      </c>
    </row>
    <row r="1738" spans="2:13" ht="15" customHeight="1" x14ac:dyDescent="0.3">
      <c r="B1738" s="135">
        <v>16</v>
      </c>
      <c r="E1738" s="151">
        <v>8</v>
      </c>
      <c r="F1738" s="152" t="s">
        <v>1020</v>
      </c>
      <c r="G1738" s="152" t="s">
        <v>821</v>
      </c>
      <c r="H1738" s="153">
        <v>500</v>
      </c>
      <c r="I1738" s="153">
        <v>0</v>
      </c>
      <c r="J1738" s="154">
        <f t="shared" si="49"/>
        <v>500</v>
      </c>
      <c r="M1738" s="52">
        <v>11285</v>
      </c>
    </row>
    <row r="1739" spans="2:13" ht="15" customHeight="1" x14ac:dyDescent="0.3">
      <c r="B1739" s="135">
        <v>16</v>
      </c>
      <c r="E1739" s="151">
        <v>9</v>
      </c>
      <c r="F1739" s="152" t="s">
        <v>779</v>
      </c>
      <c r="G1739" s="152" t="s">
        <v>821</v>
      </c>
      <c r="H1739" s="153">
        <v>18320</v>
      </c>
      <c r="I1739" s="153">
        <v>0</v>
      </c>
      <c r="J1739" s="154">
        <f t="shared" si="49"/>
        <v>18320</v>
      </c>
      <c r="M1739" s="52">
        <v>11285</v>
      </c>
    </row>
    <row r="1740" spans="2:13" ht="15" customHeight="1" x14ac:dyDescent="0.3">
      <c r="B1740" s="135">
        <v>16</v>
      </c>
      <c r="E1740" s="151">
        <v>9</v>
      </c>
      <c r="F1740" s="152" t="s">
        <v>1021</v>
      </c>
      <c r="G1740" s="152" t="s">
        <v>821</v>
      </c>
      <c r="H1740" s="153">
        <v>23500</v>
      </c>
      <c r="I1740" s="153">
        <v>0</v>
      </c>
      <c r="J1740" s="154">
        <f t="shared" si="49"/>
        <v>23500</v>
      </c>
      <c r="M1740" s="52">
        <v>11285</v>
      </c>
    </row>
    <row r="1741" spans="2:13" ht="15" customHeight="1" x14ac:dyDescent="0.3">
      <c r="B1741" s="135">
        <v>16</v>
      </c>
      <c r="E1741" s="159">
        <v>10</v>
      </c>
      <c r="F1741" s="160" t="s">
        <v>996</v>
      </c>
      <c r="G1741" s="160" t="s">
        <v>1022</v>
      </c>
      <c r="H1741" s="161">
        <v>519.6</v>
      </c>
      <c r="I1741" s="161">
        <v>0</v>
      </c>
      <c r="J1741" s="161">
        <f t="shared" si="49"/>
        <v>519.6</v>
      </c>
      <c r="M1741" s="158">
        <v>11216</v>
      </c>
    </row>
    <row r="1742" spans="2:13" ht="15" customHeight="1" x14ac:dyDescent="0.3">
      <c r="B1742" s="135">
        <v>16</v>
      </c>
      <c r="E1742" s="151">
        <v>10</v>
      </c>
      <c r="F1742" s="152" t="s">
        <v>1023</v>
      </c>
      <c r="G1742" s="152" t="s">
        <v>821</v>
      </c>
      <c r="H1742" s="153">
        <v>13750</v>
      </c>
      <c r="I1742" s="153">
        <v>0</v>
      </c>
      <c r="J1742" s="154">
        <f t="shared" si="49"/>
        <v>13750</v>
      </c>
      <c r="M1742" s="52">
        <v>11285</v>
      </c>
    </row>
    <row r="1743" spans="2:13" ht="15" customHeight="1" x14ac:dyDescent="0.3">
      <c r="B1743" s="135">
        <v>16</v>
      </c>
      <c r="E1743" s="151">
        <v>10</v>
      </c>
      <c r="F1743" s="152" t="s">
        <v>1024</v>
      </c>
      <c r="G1743" s="152" t="s">
        <v>821</v>
      </c>
      <c r="H1743" s="153">
        <v>7500</v>
      </c>
      <c r="I1743" s="153">
        <v>0</v>
      </c>
      <c r="J1743" s="154">
        <f t="shared" si="49"/>
        <v>7500</v>
      </c>
      <c r="M1743" s="52">
        <v>11285</v>
      </c>
    </row>
    <row r="1744" spans="2:13" ht="15" customHeight="1" x14ac:dyDescent="0.3">
      <c r="B1744" s="135">
        <v>16</v>
      </c>
      <c r="E1744" s="151">
        <v>11</v>
      </c>
      <c r="F1744" s="152" t="s">
        <v>1025</v>
      </c>
      <c r="G1744" s="152" t="s">
        <v>821</v>
      </c>
      <c r="H1744" s="153">
        <v>24000</v>
      </c>
      <c r="I1744" s="153">
        <v>0</v>
      </c>
      <c r="J1744" s="154">
        <f t="shared" si="49"/>
        <v>24000</v>
      </c>
      <c r="M1744" s="52">
        <v>11285</v>
      </c>
    </row>
    <row r="1745" spans="2:13" ht="15" customHeight="1" x14ac:dyDescent="0.3">
      <c r="B1745" s="135">
        <v>16</v>
      </c>
      <c r="E1745" s="151">
        <v>11</v>
      </c>
      <c r="F1745" s="152" t="s">
        <v>1026</v>
      </c>
      <c r="G1745" s="152" t="s">
        <v>821</v>
      </c>
      <c r="H1745" s="153">
        <v>9500</v>
      </c>
      <c r="I1745" s="153">
        <v>0</v>
      </c>
      <c r="J1745" s="154">
        <f t="shared" ref="J1745" si="50">H1745-I1745</f>
        <v>9500</v>
      </c>
      <c r="M1745" s="52">
        <v>11285</v>
      </c>
    </row>
    <row r="1746" spans="2:13" ht="15" customHeight="1" x14ac:dyDescent="0.3">
      <c r="B1746" s="135">
        <v>16</v>
      </c>
      <c r="E1746" s="151">
        <v>12</v>
      </c>
      <c r="F1746" s="152" t="s">
        <v>897</v>
      </c>
      <c r="G1746" s="152" t="s">
        <v>821</v>
      </c>
      <c r="H1746" s="153">
        <v>5000</v>
      </c>
      <c r="I1746" s="153">
        <v>0</v>
      </c>
      <c r="J1746" s="154">
        <f t="shared" si="49"/>
        <v>5000</v>
      </c>
      <c r="M1746" s="52">
        <v>11285</v>
      </c>
    </row>
    <row r="1747" spans="2:13" ht="15" customHeight="1" x14ac:dyDescent="0.3">
      <c r="B1747" s="135">
        <v>16</v>
      </c>
      <c r="E1747" s="151">
        <v>15</v>
      </c>
      <c r="F1747" s="152" t="s">
        <v>251</v>
      </c>
      <c r="G1747" s="152" t="s">
        <v>1027</v>
      </c>
      <c r="H1747" s="153">
        <v>200000</v>
      </c>
      <c r="I1747" s="153">
        <v>20000</v>
      </c>
      <c r="J1747" s="154">
        <f t="shared" ref="J1747" si="51">H1747-I1747</f>
        <v>180000</v>
      </c>
      <c r="M1747" s="52">
        <v>12182</v>
      </c>
    </row>
    <row r="1748" spans="2:13" ht="15" customHeight="1" x14ac:dyDescent="0.3">
      <c r="B1748" s="135">
        <v>16</v>
      </c>
      <c r="E1748" s="151">
        <v>15</v>
      </c>
      <c r="F1748" s="152" t="s">
        <v>340</v>
      </c>
      <c r="G1748" s="152" t="s">
        <v>1036</v>
      </c>
      <c r="H1748" s="153">
        <v>147166.03</v>
      </c>
      <c r="I1748" s="153">
        <v>14716.603000000001</v>
      </c>
      <c r="J1748" s="154">
        <f t="shared" si="49"/>
        <v>132449.427</v>
      </c>
      <c r="M1748" s="52">
        <v>12184</v>
      </c>
    </row>
    <row r="1749" spans="2:13" ht="15" customHeight="1" x14ac:dyDescent="0.3">
      <c r="B1749" s="135">
        <v>16</v>
      </c>
      <c r="E1749" s="151">
        <v>16</v>
      </c>
      <c r="F1749" s="152" t="s">
        <v>1028</v>
      </c>
      <c r="G1749" s="152" t="s">
        <v>1029</v>
      </c>
      <c r="H1749" s="153">
        <v>37500</v>
      </c>
      <c r="I1749" s="153">
        <v>3750</v>
      </c>
      <c r="J1749" s="154">
        <f t="shared" si="49"/>
        <v>33750</v>
      </c>
      <c r="M1749" s="52">
        <v>12183</v>
      </c>
    </row>
    <row r="1750" spans="2:13" ht="15" customHeight="1" x14ac:dyDescent="0.3">
      <c r="B1750" s="135">
        <v>16</v>
      </c>
      <c r="E1750" s="151">
        <v>16</v>
      </c>
      <c r="F1750" s="152" t="s">
        <v>797</v>
      </c>
      <c r="G1750" s="152" t="s">
        <v>1030</v>
      </c>
      <c r="H1750" s="153">
        <v>20000</v>
      </c>
      <c r="I1750" s="153">
        <v>2000</v>
      </c>
      <c r="J1750" s="154">
        <f t="shared" si="49"/>
        <v>18000</v>
      </c>
      <c r="M1750" s="52">
        <v>12186</v>
      </c>
    </row>
  </sheetData>
  <conditionalFormatting sqref="E271:J292 E20:J268">
    <cfRule type="expression" dxfId="2" priority="21">
      <formula>$M$3=1</formula>
    </cfRule>
  </conditionalFormatting>
  <conditionalFormatting sqref="E302:J1750">
    <cfRule type="expression" dxfId="1" priority="1">
      <formula>$M$3=1</formula>
    </cfRule>
  </conditionalFormatting>
  <conditionalFormatting sqref="I8:J9">
    <cfRule type="expression" dxfId="0" priority="33">
      <formula>$M$3=1</formula>
    </cfRule>
  </conditionalFormatting>
  <pageMargins left="0.25" right="0.25" top="0.5" bottom="0.5" header="0.25" footer="0.25"/>
  <pageSetup scale="52" fitToHeight="0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G702</vt:lpstr>
      <vt:lpstr>G703</vt:lpstr>
      <vt:lpstr>Boulder Invoice</vt:lpstr>
      <vt:lpstr>'Boulder Invoice'!Print_Area</vt:lpstr>
      <vt:lpstr>'G702'!Print_Area</vt:lpstr>
      <vt:lpstr>'G703'!Print_Area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Javahar Patel</dc:creator>
  <cp:lastModifiedBy>Jai Patel</cp:lastModifiedBy>
  <cp:lastPrinted>2026-03-06T06:22:40Z</cp:lastPrinted>
  <dcterms:created xsi:type="dcterms:W3CDTF">2024-07-31T19:48:22Z</dcterms:created>
  <dcterms:modified xsi:type="dcterms:W3CDTF">2026-03-06T06:24:42Z</dcterms:modified>
</cp:coreProperties>
</file>